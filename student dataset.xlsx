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1d0abb5ec4670e/Desktop/"/>
    </mc:Choice>
  </mc:AlternateContent>
  <xr:revisionPtr revIDLastSave="1" documentId="14_{9D39441A-32C6-4BF4-A9B8-DFCCEA94E484}" xr6:coauthVersionLast="47" xr6:coauthVersionMax="47" xr10:uidLastSave="{A3C9F0A9-7980-476A-85C6-5AAF64583D4B}"/>
  <bookViews>
    <workbookView xWindow="2304" yWindow="2304" windowWidth="17280" windowHeight="8880" activeTab="1" xr2:uid="{84BAF10A-C303-4B30-B27E-DF1C156946ED}"/>
  </bookViews>
  <sheets>
    <sheet name="Student Detail" sheetId="1" r:id="rId1"/>
    <sheet name="short list of detail" sheetId="3" r:id="rId2"/>
  </sheets>
  <definedNames>
    <definedName name="_xlnm._FilterDatabase" localSheetId="0" hidden="1">'Student Detail'!$A$1:$P$101</definedName>
  </definedNames>
  <calcPr calcId="191029"/>
  <pivotCaches>
    <pivotCache cacheId="1" r:id="rId3"/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3" l="1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</calcChain>
</file>

<file path=xl/sharedStrings.xml><?xml version="1.0" encoding="utf-8"?>
<sst xmlns="http://schemas.openxmlformats.org/spreadsheetml/2006/main" count="713" uniqueCount="265">
  <si>
    <t>Student Name</t>
  </si>
  <si>
    <t xml:space="preserve">Sr no. </t>
  </si>
  <si>
    <t>Full fees</t>
  </si>
  <si>
    <t>installment</t>
  </si>
  <si>
    <t>Full paid</t>
  </si>
  <si>
    <t xml:space="preserve"> Aarav Sharma</t>
  </si>
  <si>
    <t xml:space="preserve"> Vihaan Patel</t>
  </si>
  <si>
    <t xml:space="preserve"> Aditya Verma</t>
  </si>
  <si>
    <t xml:space="preserve"> Arjun Singh</t>
  </si>
  <si>
    <t xml:space="preserve"> Rohan Mehta</t>
  </si>
  <si>
    <t xml:space="preserve"> Rahul Gupta</t>
  </si>
  <si>
    <t xml:space="preserve"> Karan Yadav</t>
  </si>
  <si>
    <t xml:space="preserve"> Aman Mishra</t>
  </si>
  <si>
    <t xml:space="preserve"> Vivek Tiwari</t>
  </si>
  <si>
    <t xml:space="preserve"> Siddharth Jain</t>
  </si>
  <si>
    <t xml:space="preserve"> Neha Sharma</t>
  </si>
  <si>
    <t xml:space="preserve"> Priya Verma</t>
  </si>
  <si>
    <t xml:space="preserve"> Ananya Singh</t>
  </si>
  <si>
    <t xml:space="preserve"> Sneha Patel</t>
  </si>
  <si>
    <t xml:space="preserve"> Pooja Gupta</t>
  </si>
  <si>
    <t xml:space="preserve"> Riya Mehta</t>
  </si>
  <si>
    <t xml:space="preserve"> Kavya Nair</t>
  </si>
  <si>
    <t xml:space="preserve"> Aditi Kulkarni</t>
  </si>
  <si>
    <t xml:space="preserve"> Simran Kaur</t>
  </si>
  <si>
    <t xml:space="preserve"> Nisha Choudhary</t>
  </si>
  <si>
    <t xml:space="preserve"> Aarav Verma</t>
  </si>
  <si>
    <t xml:space="preserve"> Vihaan Sharma</t>
  </si>
  <si>
    <t xml:space="preserve"> Arjun Patel</t>
  </si>
  <si>
    <t xml:space="preserve"> Rohan Singh</t>
  </si>
  <si>
    <t xml:space="preserve"> Rahul Mehta</t>
  </si>
  <si>
    <t xml:space="preserve"> Karan Gupta</t>
  </si>
  <si>
    <t xml:space="preserve"> Aman Sharma</t>
  </si>
  <si>
    <t xml:space="preserve"> Aditya Yadav</t>
  </si>
  <si>
    <t xml:space="preserve"> Vivek Patel</t>
  </si>
  <si>
    <t xml:space="preserve"> Siddharth Mishra</t>
  </si>
  <si>
    <t xml:space="preserve"> Ishaan Deshmukh</t>
  </si>
  <si>
    <t xml:space="preserve"> Krish Malhotra</t>
  </si>
  <si>
    <t xml:space="preserve"> Dhruv Bansal</t>
  </si>
  <si>
    <t xml:space="preserve"> Yash Agarwal</t>
  </si>
  <si>
    <t xml:space="preserve"> Manav Sinha</t>
  </si>
  <si>
    <t xml:space="preserve"> Harsh Chauhan</t>
  </si>
  <si>
    <t xml:space="preserve"> Akash Reddy</t>
  </si>
  <si>
    <t xml:space="preserve"> Rohit Joshi</t>
  </si>
  <si>
    <t xml:space="preserve"> Mohit Saxena</t>
  </si>
  <si>
    <t xml:space="preserve"> Nitin Pandey</t>
  </si>
  <si>
    <t xml:space="preserve"> Tanvi Sharma</t>
  </si>
  <si>
    <t xml:space="preserve"> Muskan Verma</t>
  </si>
  <si>
    <t xml:space="preserve"> Sakshi Singh</t>
  </si>
  <si>
    <t xml:space="preserve"> Ishita Patel</t>
  </si>
  <si>
    <t xml:space="preserve"> Kriti Gupta</t>
  </si>
  <si>
    <t xml:space="preserve"> Shreya Mehta</t>
  </si>
  <si>
    <t xml:space="preserve"> Anjali Nair</t>
  </si>
  <si>
    <t xml:space="preserve"> Divya Kulkarni</t>
  </si>
  <si>
    <t xml:space="preserve"> Meera Kapoor</t>
  </si>
  <si>
    <t xml:space="preserve"> Ritika Saini</t>
  </si>
  <si>
    <t xml:space="preserve"> Aarohi Sharma</t>
  </si>
  <si>
    <t xml:space="preserve"> Diya Verma</t>
  </si>
  <si>
    <t xml:space="preserve"> Nandini Singh</t>
  </si>
  <si>
    <t xml:space="preserve"> Sanjana Patel</t>
  </si>
  <si>
    <t xml:space="preserve"> Bhavna Gupta</t>
  </si>
  <si>
    <t xml:space="preserve"> Palak Mehta</t>
  </si>
  <si>
    <t xml:space="preserve"> Vaishnavi Nair</t>
  </si>
  <si>
    <t xml:space="preserve"> Anushka Kulkarni</t>
  </si>
  <si>
    <t xml:space="preserve"> Radhika Kapoor</t>
  </si>
  <si>
    <t xml:space="preserve"> Khushi Choudhary</t>
  </si>
  <si>
    <t xml:space="preserve"> Aryan Sharma</t>
  </si>
  <si>
    <t xml:space="preserve"> Aryan Verma</t>
  </si>
  <si>
    <t xml:space="preserve"> Aryan Patel</t>
  </si>
  <si>
    <t xml:space="preserve"> Aryan Singh</t>
  </si>
  <si>
    <t xml:space="preserve"> Aryan Gupta</t>
  </si>
  <si>
    <t xml:space="preserve"> Dev Sharma</t>
  </si>
  <si>
    <t xml:space="preserve"> Dev Patel</t>
  </si>
  <si>
    <t xml:space="preserve"> Dev Verma</t>
  </si>
  <si>
    <t xml:space="preserve"> Dev Mishra</t>
  </si>
  <si>
    <t xml:space="preserve"> Dev Yadav</t>
  </si>
  <si>
    <t xml:space="preserve"> Lakshay Sharma</t>
  </si>
  <si>
    <t xml:space="preserve"> Lakshay Gupta</t>
  </si>
  <si>
    <t xml:space="preserve"> Laksh Verma</t>
  </si>
  <si>
    <t xml:space="preserve"> Laksh Patel</t>
  </si>
  <si>
    <t xml:space="preserve"> Laksh Singh</t>
  </si>
  <si>
    <t xml:space="preserve"> Om Prakash Yadav</t>
  </si>
  <si>
    <t xml:space="preserve"> Ravi Kumar Sharma</t>
  </si>
  <si>
    <t xml:space="preserve"> Sunil Kumar Gupta</t>
  </si>
  <si>
    <t xml:space="preserve"> Deepak Kumar Singh</t>
  </si>
  <si>
    <t xml:space="preserve"> Rajesh Kumar Verma</t>
  </si>
  <si>
    <t xml:space="preserve"> Suman Kumari</t>
  </si>
  <si>
    <t xml:space="preserve"> Seema Verma</t>
  </si>
  <si>
    <t xml:space="preserve"> Jyoti Singh</t>
  </si>
  <si>
    <t xml:space="preserve"> Gaurav Sharma</t>
  </si>
  <si>
    <t xml:space="preserve"> Gaurav Verma</t>
  </si>
  <si>
    <t xml:space="preserve"> Gaurav Patel</t>
  </si>
  <si>
    <t xml:space="preserve"> Gaurav Singh</t>
  </si>
  <si>
    <t xml:space="preserve"> Gaurav Gupta</t>
  </si>
  <si>
    <t xml:space="preserve"> Nishant Tiwari</t>
  </si>
  <si>
    <t xml:space="preserve"> Abhishek Dubey</t>
  </si>
  <si>
    <t xml:space="preserve"> Prateek Srivastava</t>
  </si>
  <si>
    <t xml:space="preserve"> Mayank Chaturvedi</t>
  </si>
  <si>
    <t xml:space="preserve"> Chetan Rathore</t>
  </si>
  <si>
    <t xml:space="preserve"> Saurabh Tomar</t>
  </si>
  <si>
    <t xml:space="preserve"> Hemant Solanki</t>
  </si>
  <si>
    <t xml:space="preserve"> Varun Bhardwaj</t>
  </si>
  <si>
    <t xml:space="preserve"> Nikita Arora</t>
  </si>
  <si>
    <t xml:space="preserve"> Shruti Bhatia</t>
  </si>
  <si>
    <t>Gender</t>
  </si>
  <si>
    <t>Male</t>
  </si>
  <si>
    <t>Female</t>
  </si>
  <si>
    <t>Email</t>
  </si>
  <si>
    <t>aarav.sharma@gmail.com</t>
  </si>
  <si>
    <t>vihaan.patel@gmail.com</t>
  </si>
  <si>
    <t>aditya.verma@gmail.com</t>
  </si>
  <si>
    <t>arjun.singh@gmail.com</t>
  </si>
  <si>
    <t>rohan.mehta@gmail.com</t>
  </si>
  <si>
    <t>rahul.gupta@gmail.com</t>
  </si>
  <si>
    <t>karan.yadav@gmail.com</t>
  </si>
  <si>
    <t>aman.mishra@gmail.com</t>
  </si>
  <si>
    <t>vivek.tiwari@gmail.com</t>
  </si>
  <si>
    <t>siddharth.jain@gmail.com</t>
  </si>
  <si>
    <t>neha.sharma@gmail.com</t>
  </si>
  <si>
    <t>priya.verma@gmail.com</t>
  </si>
  <si>
    <t>ananya.singh@gmail.com</t>
  </si>
  <si>
    <t>sneha.patel@gmail.com</t>
  </si>
  <si>
    <t>pooja.gupta@gmail.com</t>
  </si>
  <si>
    <t>riya.mehta@gmail.com</t>
  </si>
  <si>
    <t>kavya.nair@gmail.com</t>
  </si>
  <si>
    <t>aditi.kulkarni@gmail.com</t>
  </si>
  <si>
    <t>simran.kaur@gmail.com</t>
  </si>
  <si>
    <t>nisha.choudhary@gmail.com</t>
  </si>
  <si>
    <t>aarav.verma@gmail.com</t>
  </si>
  <si>
    <t>vihaan.sharma@gmail.com</t>
  </si>
  <si>
    <t>arjun.patel@gmail.com</t>
  </si>
  <si>
    <t>rohan.singh@gmail.com</t>
  </si>
  <si>
    <t>rahul.mehta@gmail.com</t>
  </si>
  <si>
    <t>karan.gupta@gmail.com</t>
  </si>
  <si>
    <t>aman.sharma@gmail.com</t>
  </si>
  <si>
    <t>aditya.yadav@gmail.com</t>
  </si>
  <si>
    <t>vivek.patel@gmail.com</t>
  </si>
  <si>
    <t>siddharth.mishra@gmail.com</t>
  </si>
  <si>
    <t>ishaan.deshmukh@gmail.com</t>
  </si>
  <si>
    <t>krish.malhotra@gmail.com</t>
  </si>
  <si>
    <t>dhruv.bansal@gmail.com</t>
  </si>
  <si>
    <t>yash.agarwal@gmail.com</t>
  </si>
  <si>
    <t>manav.sinha@gmail.com</t>
  </si>
  <si>
    <t>harsh.chauhan@gmail.com</t>
  </si>
  <si>
    <t>akash.reddy@gmail.com</t>
  </si>
  <si>
    <t>rohit.joshi@gmail.com</t>
  </si>
  <si>
    <t>mohit.saxena@gmail.com</t>
  </si>
  <si>
    <t>nitin.pandey@gmail.com</t>
  </si>
  <si>
    <t>tanvi.sharma@gmail.com</t>
  </si>
  <si>
    <t>muskan.verma@gmail.com</t>
  </si>
  <si>
    <t>sakshi.singh@gmail.com</t>
  </si>
  <si>
    <t>ishita.patel@gmail.com</t>
  </si>
  <si>
    <t>kriti.gupta@gmail.com</t>
  </si>
  <si>
    <t>shreya.mehta@gmail.com</t>
  </si>
  <si>
    <t>anjali.nair@gmail.com</t>
  </si>
  <si>
    <t>divya.kulkarni@gmail.com</t>
  </si>
  <si>
    <t>meera.kapoor@gmail.com</t>
  </si>
  <si>
    <t>ritika.saini@gmail.com</t>
  </si>
  <si>
    <t>aarohi.sharma@gmail.com</t>
  </si>
  <si>
    <t>diya.verma@gmail.com</t>
  </si>
  <si>
    <t>nandini.singh@gmail.com</t>
  </si>
  <si>
    <t>sanjana.patel@gmail.com</t>
  </si>
  <si>
    <t>bhavna.gupta@gmail.com</t>
  </si>
  <si>
    <t>palak.mehta@gmail.com</t>
  </si>
  <si>
    <t>vaishnavi.nair@gmail.com</t>
  </si>
  <si>
    <t>anushka.kulkarni@gmail.com</t>
  </si>
  <si>
    <t>radhika.kapoor@gmail.com</t>
  </si>
  <si>
    <t>khushi.choudhary@gmail.com</t>
  </si>
  <si>
    <t>aryan.sharma@gmail.com</t>
  </si>
  <si>
    <t>aryan.verma@gmail.com</t>
  </si>
  <si>
    <t>aryan.patel@gmail.com</t>
  </si>
  <si>
    <t>aryan.singh@gmail.com</t>
  </si>
  <si>
    <t>aryan.gupta@gmail.com</t>
  </si>
  <si>
    <t>dev.sharma@gmail.com</t>
  </si>
  <si>
    <t>dev.patel@gmail.com</t>
  </si>
  <si>
    <t>dev.verma@gmail.com</t>
  </si>
  <si>
    <t>dev.mishra@gmail.com</t>
  </si>
  <si>
    <t>dev.yadav@gmail.com</t>
  </si>
  <si>
    <t>lakshay.sharma@gmail.com</t>
  </si>
  <si>
    <t>lakshay.gupta@gmail.com</t>
  </si>
  <si>
    <t>laksh.verma@gmail.com</t>
  </si>
  <si>
    <t>laksh.patel@gmail.com</t>
  </si>
  <si>
    <t>laksh.singh@gmail.com</t>
  </si>
  <si>
    <t>omprakash.yadav@gmail.com</t>
  </si>
  <si>
    <t>ravikumar.sharma@gmail.com</t>
  </si>
  <si>
    <t>sunilkumar.gupta@gmail.com</t>
  </si>
  <si>
    <t>deepakkumar.singh@gmail.com</t>
  </si>
  <si>
    <t>rajeshkumar.verma@gmail.com</t>
  </si>
  <si>
    <t>suman.kumari@gmail.com</t>
  </si>
  <si>
    <t>rekha.devi@gmail.com</t>
  </si>
  <si>
    <t>anita.sharma@gmail.com</t>
  </si>
  <si>
    <t>seema.verma@gmail.com</t>
  </si>
  <si>
    <t>jyoti.singh@gmail.com</t>
  </si>
  <si>
    <t>gaurav.sharma@gmail.com</t>
  </si>
  <si>
    <t>gaurav.verma@gmail.com</t>
  </si>
  <si>
    <t>gaurav.patel@gmail.com</t>
  </si>
  <si>
    <t>gaurav.singh@gmail.com</t>
  </si>
  <si>
    <t>gaurav.gupta@gmail.com</t>
  </si>
  <si>
    <t>nishant.tiwari@gmail.com</t>
  </si>
  <si>
    <t>abhishek.dubey@gmail.com</t>
  </si>
  <si>
    <t>prateek.srivastava@gmail.com</t>
  </si>
  <si>
    <t>mayank.chaturvedi@gmail.com</t>
  </si>
  <si>
    <t>chetan.rathore@gmail.com</t>
  </si>
  <si>
    <t>saurabh.tomar@gmail.com</t>
  </si>
  <si>
    <t>hemant.solanki@gmail.com</t>
  </si>
  <si>
    <t>varun.bhardwaj@gmail.com</t>
  </si>
  <si>
    <t>nikita.arora@gmail.com</t>
  </si>
  <si>
    <t>shruti.bhatia@gmail.com</t>
  </si>
  <si>
    <t>Rekha Devi</t>
  </si>
  <si>
    <t>Anita Sharma</t>
  </si>
  <si>
    <t>Study year</t>
  </si>
  <si>
    <t xml:space="preserve">Course </t>
  </si>
  <si>
    <t>Phone</t>
  </si>
  <si>
    <t>Data Analytics</t>
  </si>
  <si>
    <t>Computer Science</t>
  </si>
  <si>
    <t>Business Administration</t>
  </si>
  <si>
    <t>Mechanical Engineering</t>
  </si>
  <si>
    <t>Civil Engineering</t>
  </si>
  <si>
    <t>Electrical Engineering</t>
  </si>
  <si>
    <t>Information Technology</t>
  </si>
  <si>
    <t>Artificial Intelligence</t>
  </si>
  <si>
    <t>Machine Learning</t>
  </si>
  <si>
    <t>Cyber Security</t>
  </si>
  <si>
    <t>Digital Marketing</t>
  </si>
  <si>
    <t>Finance</t>
  </si>
  <si>
    <t>Human Resource Management</t>
  </si>
  <si>
    <t>Accounting</t>
  </si>
  <si>
    <t>Economics</t>
  </si>
  <si>
    <t>Psychology</t>
  </si>
  <si>
    <t>Graphic Design</t>
  </si>
  <si>
    <t>Software Engineering</t>
  </si>
  <si>
    <t>Cloud Computing</t>
  </si>
  <si>
    <t>Hotel Management</t>
  </si>
  <si>
    <t>Student id</t>
  </si>
  <si>
    <t>Age</t>
  </si>
  <si>
    <t>2nd</t>
  </si>
  <si>
    <t>3rd</t>
  </si>
  <si>
    <t>course</t>
  </si>
  <si>
    <t>full fees</t>
  </si>
  <si>
    <t>(blank)</t>
  </si>
  <si>
    <t>Grand Total</t>
  </si>
  <si>
    <t>Yes</t>
  </si>
  <si>
    <t>No</t>
  </si>
  <si>
    <t>Amount of scholarship</t>
  </si>
  <si>
    <t>Scholarship Status</t>
  </si>
  <si>
    <t>Courses available</t>
  </si>
  <si>
    <t xml:space="preserve">Courses </t>
  </si>
  <si>
    <t>Courses</t>
  </si>
  <si>
    <t>Amount of scholarships</t>
  </si>
  <si>
    <t>course and fees</t>
  </si>
  <si>
    <t>Installment fees</t>
  </si>
  <si>
    <t>Location</t>
  </si>
  <si>
    <t>Mumbai</t>
  </si>
  <si>
    <t>Pune</t>
  </si>
  <si>
    <t>Thane</t>
  </si>
  <si>
    <t>Nashik</t>
  </si>
  <si>
    <t>Nagpur</t>
  </si>
  <si>
    <t>Aurangabad</t>
  </si>
  <si>
    <t>Kolhapur</t>
  </si>
  <si>
    <t>Navi Mumbai</t>
  </si>
  <si>
    <t>Kalyan</t>
  </si>
  <si>
    <t>Vasai</t>
  </si>
  <si>
    <t>Scholarship Detail</t>
  </si>
  <si>
    <t>1st</t>
  </si>
  <si>
    <t>Admission Date</t>
  </si>
  <si>
    <t>Total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</si>
</sst>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theme="5" tint="0.39997558519241921"/>
      </patternFill>
    </fill>
    <fill>
      <patternFill patternType="solid">
        <fgColor theme="7" tint="0.39997558519241921"/>
        <bgColor theme="5" tint="0.39997558519241921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6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/>
    </xf>
    <xf numFmtId="6" fontId="0" fillId="3" borderId="2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6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8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6" borderId="15" xfId="0" applyFill="1" applyBorder="1" applyAlignment="1">
      <alignment horizontal="left"/>
    </xf>
    <xf numFmtId="0" fontId="1" fillId="5" borderId="15" xfId="0" applyFont="1" applyFill="1" applyBorder="1"/>
    <xf numFmtId="0" fontId="0" fillId="4" borderId="9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7" borderId="25" xfId="0" applyFill="1" applyBorder="1"/>
    <xf numFmtId="0" fontId="0" fillId="6" borderId="24" xfId="0" applyFill="1" applyBorder="1" applyAlignment="1">
      <alignment horizontal="left"/>
    </xf>
    <xf numFmtId="0" fontId="0" fillId="6" borderId="25" xfId="0" applyFill="1" applyBorder="1" applyAlignment="1">
      <alignment horizontal="left"/>
    </xf>
    <xf numFmtId="0" fontId="0" fillId="7" borderId="25" xfId="0" applyFill="1" applyBorder="1" applyAlignment="1">
      <alignment horizontal="left"/>
    </xf>
    <xf numFmtId="0" fontId="0" fillId="6" borderId="24" xfId="0" applyFill="1" applyBorder="1"/>
    <xf numFmtId="0" fontId="0" fillId="10" borderId="15" xfId="0" applyFill="1" applyBorder="1"/>
    <xf numFmtId="0" fontId="0" fillId="10" borderId="15" xfId="0" applyFill="1" applyBorder="1" applyAlignment="1">
      <alignment horizontal="left"/>
    </xf>
    <xf numFmtId="0" fontId="0" fillId="11" borderId="25" xfId="0" applyFill="1" applyBorder="1"/>
    <xf numFmtId="0" fontId="1" fillId="8" borderId="3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</cellXfs>
  <cellStyles count="1">
    <cellStyle name="Normal" xfId="0" builtinId="0"/>
  </cellStyles>
  <dxfs count="66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-0.249977111117893"/>
        </patternFill>
      </fill>
    </dxf>
    <dxf>
      <fill>
        <patternFill>
          <bgColor theme="9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ont>
        <sz val="14"/>
      </font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4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/>
        </patternFill>
      </fill>
    </dxf>
    <dxf>
      <fill>
        <patternFill patternType="solid">
          <bgColor theme="5" tint="-0.24997711111789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theme="5" tint="0.39997558519241921"/>
        </patternFill>
      </fill>
    </dxf>
    <dxf>
      <fill>
        <patternFill>
          <fgColor theme="5" tint="0.39997558519241921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fgColor theme="5" tint="0.39997558519241921"/>
        </patternFill>
      </fill>
    </dxf>
    <dxf>
      <fill>
        <patternFill>
          <fgColor theme="5" tint="0.39997558519241921"/>
        </patternFill>
      </fill>
    </dxf>
    <dxf>
      <font>
        <sz val="12"/>
      </font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C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[student dataset.xlsx]short list of detail!PivotTable2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Fees vs Course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'short list of detail'!$J$2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'short list of detail'!$I$3:$I$23</c:f>
              <c:strCache>
                <c:ptCount val="20"/>
                <c:pt idx="0">
                  <c:v>Accounting</c:v>
                </c:pt>
                <c:pt idx="1">
                  <c:v>Artificial Intelligence</c:v>
                </c:pt>
                <c:pt idx="2">
                  <c:v>Business Administration</c:v>
                </c:pt>
                <c:pt idx="3">
                  <c:v>Civil Engineering</c:v>
                </c:pt>
                <c:pt idx="4">
                  <c:v>Cloud Computing</c:v>
                </c:pt>
                <c:pt idx="5">
                  <c:v>Computer Science</c:v>
                </c:pt>
                <c:pt idx="6">
                  <c:v>Cyber Security</c:v>
                </c:pt>
                <c:pt idx="7">
                  <c:v>Data Analytics</c:v>
                </c:pt>
                <c:pt idx="8">
                  <c:v>Digital Marketing</c:v>
                </c:pt>
                <c:pt idx="9">
                  <c:v>Economics</c:v>
                </c:pt>
                <c:pt idx="10">
                  <c:v>Electrical Engineering</c:v>
                </c:pt>
                <c:pt idx="11">
                  <c:v>Finance</c:v>
                </c:pt>
                <c:pt idx="12">
                  <c:v>Graphic Design</c:v>
                </c:pt>
                <c:pt idx="13">
                  <c:v>Hotel Management</c:v>
                </c:pt>
                <c:pt idx="14">
                  <c:v>Human Resource Management</c:v>
                </c:pt>
                <c:pt idx="15">
                  <c:v>Information Technology</c:v>
                </c:pt>
                <c:pt idx="16">
                  <c:v>Machine Learning</c:v>
                </c:pt>
                <c:pt idx="17">
                  <c:v>Mechanical Engineering</c:v>
                </c:pt>
                <c:pt idx="18">
                  <c:v>Psychology</c:v>
                </c:pt>
                <c:pt idx="19">
                  <c:v>Software Engineering</c:v>
                </c:pt>
              </c:strCache>
            </c:strRef>
          </c:cat>
          <c:val>
            <c:numRef>
              <c:f>'short list of detail'!$J$3:$J$23</c:f>
              <c:numCache>
                <c:formatCode>General</c:formatCode>
                <c:ptCount val="20"/>
                <c:pt idx="0">
                  <c:v>75000</c:v>
                </c:pt>
                <c:pt idx="1">
                  <c:v>1430000</c:v>
                </c:pt>
                <c:pt idx="2">
                  <c:v>340000</c:v>
                </c:pt>
                <c:pt idx="3">
                  <c:v>690000</c:v>
                </c:pt>
                <c:pt idx="4">
                  <c:v>600000</c:v>
                </c:pt>
                <c:pt idx="5">
                  <c:v>330000</c:v>
                </c:pt>
                <c:pt idx="6">
                  <c:v>1375000</c:v>
                </c:pt>
                <c:pt idx="7">
                  <c:v>285000</c:v>
                </c:pt>
                <c:pt idx="8">
                  <c:v>400000</c:v>
                </c:pt>
                <c:pt idx="9">
                  <c:v>210000</c:v>
                </c:pt>
                <c:pt idx="10">
                  <c:v>826000</c:v>
                </c:pt>
                <c:pt idx="11">
                  <c:v>270000</c:v>
                </c:pt>
                <c:pt idx="12">
                  <c:v>88000</c:v>
                </c:pt>
                <c:pt idx="13">
                  <c:v>98000</c:v>
                </c:pt>
                <c:pt idx="14">
                  <c:v>82000</c:v>
                </c:pt>
                <c:pt idx="15">
                  <c:v>735000</c:v>
                </c:pt>
                <c:pt idx="16">
                  <c:v>1485000</c:v>
                </c:pt>
                <c:pt idx="17">
                  <c:v>720000</c:v>
                </c:pt>
                <c:pt idx="18">
                  <c:v>78000</c:v>
                </c:pt>
                <c:pt idx="19">
                  <c:v>1150000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E-42A9-969C-4A4244305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76352927"/>
        <c:axId val="1967441935"/>
      </c:barChart>
      <c:catAx>
        <c:axId val="197635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41935"/>
        <c:crosses val="autoZero"/>
        <c:auto val="1"/>
        <c:lblAlgn val="ctr"/>
        <c:lblOffset val="100"/>
        <c:noMultiLvlLbl val="0"/>
      </c:catAx>
      <c:valAx>
        <c:axId val="196744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5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206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dataset.xlsx]short list of detail!PivotTable3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Scholarship ammount vs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'short list of detail'!$M$2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'short list of detail'!$L$3:$L$23</c:f>
              <c:strCache>
                <c:ptCount val="20"/>
                <c:pt idx="0">
                  <c:v>Accounting</c:v>
                </c:pt>
                <c:pt idx="1">
                  <c:v>Artificial Intelligence</c:v>
                </c:pt>
                <c:pt idx="2">
                  <c:v>Business Administration</c:v>
                </c:pt>
                <c:pt idx="3">
                  <c:v>Civil Engineering</c:v>
                </c:pt>
                <c:pt idx="4">
                  <c:v>Cloud Computing</c:v>
                </c:pt>
                <c:pt idx="5">
                  <c:v>Computer Science</c:v>
                </c:pt>
                <c:pt idx="6">
                  <c:v>Cyber Security</c:v>
                </c:pt>
                <c:pt idx="7">
                  <c:v>Data Analytics</c:v>
                </c:pt>
                <c:pt idx="8">
                  <c:v>Digital Marketing</c:v>
                </c:pt>
                <c:pt idx="9">
                  <c:v>Economics</c:v>
                </c:pt>
                <c:pt idx="10">
                  <c:v>Electrical Engineering</c:v>
                </c:pt>
                <c:pt idx="11">
                  <c:v>Finance</c:v>
                </c:pt>
                <c:pt idx="12">
                  <c:v>Graphic Design</c:v>
                </c:pt>
                <c:pt idx="13">
                  <c:v>Hotel Management</c:v>
                </c:pt>
                <c:pt idx="14">
                  <c:v>Human Resource Management</c:v>
                </c:pt>
                <c:pt idx="15">
                  <c:v>Information Technology</c:v>
                </c:pt>
                <c:pt idx="16">
                  <c:v>Machine Learning</c:v>
                </c:pt>
                <c:pt idx="17">
                  <c:v>Mechanical Engineering</c:v>
                </c:pt>
                <c:pt idx="18">
                  <c:v>Psychology</c:v>
                </c:pt>
                <c:pt idx="19">
                  <c:v>Software Engineering</c:v>
                </c:pt>
              </c:strCache>
            </c:strRef>
          </c:cat>
          <c:val>
            <c:numRef>
              <c:f>'short list of detail'!$M$3:$M$23</c:f>
              <c:numCache>
                <c:formatCode>General</c:formatCode>
                <c:ptCount val="20"/>
                <c:pt idx="0">
                  <c:v>0</c:v>
                </c:pt>
                <c:pt idx="1">
                  <c:v>385000</c:v>
                </c:pt>
                <c:pt idx="2">
                  <c:v>0</c:v>
                </c:pt>
                <c:pt idx="3">
                  <c:v>0</c:v>
                </c:pt>
                <c:pt idx="4">
                  <c:v>100000</c:v>
                </c:pt>
                <c:pt idx="5">
                  <c:v>75000</c:v>
                </c:pt>
                <c:pt idx="6">
                  <c:v>330000</c:v>
                </c:pt>
                <c:pt idx="7">
                  <c:v>60000</c:v>
                </c:pt>
                <c:pt idx="8">
                  <c:v>0</c:v>
                </c:pt>
                <c:pt idx="9">
                  <c:v>45000</c:v>
                </c:pt>
                <c:pt idx="10">
                  <c:v>175000</c:v>
                </c:pt>
                <c:pt idx="11">
                  <c:v>0</c:v>
                </c:pt>
                <c:pt idx="12">
                  <c:v>0</c:v>
                </c:pt>
                <c:pt idx="13">
                  <c:v>20000</c:v>
                </c:pt>
                <c:pt idx="14">
                  <c:v>15000</c:v>
                </c:pt>
                <c:pt idx="15">
                  <c:v>140000</c:v>
                </c:pt>
                <c:pt idx="16">
                  <c:v>385000</c:v>
                </c:pt>
                <c:pt idx="17">
                  <c:v>180000</c:v>
                </c:pt>
                <c:pt idx="18">
                  <c:v>18000</c:v>
                </c:pt>
                <c:pt idx="19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3-4668-A31F-BE344919C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65448575"/>
        <c:axId val="1967530255"/>
      </c:barChart>
      <c:catAx>
        <c:axId val="46544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30255"/>
        <c:crosses val="autoZero"/>
        <c:auto val="1"/>
        <c:lblAlgn val="ctr"/>
        <c:lblOffset val="100"/>
        <c:noMultiLvlLbl val="0"/>
      </c:catAx>
      <c:valAx>
        <c:axId val="196753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4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206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0</xdr:row>
      <xdr:rowOff>247650</xdr:rowOff>
    </xdr:from>
    <xdr:to>
      <xdr:col>18</xdr:col>
      <xdr:colOff>769620</xdr:colOff>
      <xdr:row>18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BBFE4-2AF6-9734-332C-78382DA1B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899160</xdr:colOff>
      <xdr:row>0</xdr:row>
      <xdr:rowOff>247650</xdr:rowOff>
    </xdr:from>
    <xdr:to>
      <xdr:col>25</xdr:col>
      <xdr:colOff>335280</xdr:colOff>
      <xdr:row>18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A03BE6-2E66-1CF5-AC0E-258E2826C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3.942346064818" createdVersion="8" refreshedVersion="8" minRefreshableVersion="3" recordCount="100" xr:uid="{D3D6989D-6B2A-4935-9947-98FACAC1BE79}">
  <cacheSource type="worksheet">
    <worksheetSource ref="A1:P101" sheet="Student Detail"/>
  </cacheSource>
  <cacheFields count="16">
    <cacheField name="Sr no. " numFmtId="0">
      <sharedItems containsSemiMixedTypes="0" containsString="0" containsNumber="1" containsInteger="1" minValue="1" maxValue="100"/>
    </cacheField>
    <cacheField name="Student id" numFmtId="0">
      <sharedItems containsSemiMixedTypes="0" containsString="0" containsNumber="1" containsInteger="1" minValue="1001" maxValue="1100"/>
    </cacheField>
    <cacheField name="Student Name" numFmtId="0">
      <sharedItems/>
    </cacheField>
    <cacheField name="Gender" numFmtId="0">
      <sharedItems/>
    </cacheField>
    <cacheField name="Email" numFmtId="0">
      <sharedItems/>
    </cacheField>
    <cacheField name="Age" numFmtId="0">
      <sharedItems containsSemiMixedTypes="0" containsString="0" containsNumber="1" containsInteger="1" minValue="18" maxValue="25"/>
    </cacheField>
    <cacheField name="Phone" numFmtId="0">
      <sharedItems containsSemiMixedTypes="0" containsString="0" containsNumber="1" containsInteger="1" minValue="12654783" maxValue="97163528"/>
    </cacheField>
    <cacheField name="Study year" numFmtId="0">
      <sharedItems containsSemiMixedTypes="0" containsString="0" containsNumber="1" containsInteger="1" minValue="11" maxValue="15"/>
    </cacheField>
    <cacheField name="Location" numFmtId="0">
      <sharedItems/>
    </cacheField>
    <cacheField name="Course " numFmtId="0">
      <sharedItems count="20">
        <s v="Data Analytics"/>
        <s v="Computer Science"/>
        <s v="Business Administration"/>
        <s v="Mechanical Engineering"/>
        <s v="Civil Engineering"/>
        <s v="Electrical Engineering"/>
        <s v="Information Technology"/>
        <s v="Artificial Intelligence"/>
        <s v="Machine Learning"/>
        <s v="Cyber Security"/>
        <s v="Software Engineering"/>
        <s v="Cloud Computing"/>
        <s v="Digital Marketing"/>
        <s v="Finance"/>
        <s v="Human Resource Management"/>
        <s v="Accounting"/>
        <s v="Economics"/>
        <s v="Psychology"/>
        <s v="Graphic Design"/>
        <s v="Hotel Management"/>
      </sharedItems>
    </cacheField>
    <cacheField name="Full fees" numFmtId="6">
      <sharedItems containsSemiMixedTypes="0" containsString="0" containsNumber="1" containsInteger="1" minValue="70000" maxValue="135000"/>
    </cacheField>
    <cacheField name="installment" numFmtId="0">
      <sharedItems containsSemiMixedTypes="0" containsString="0" containsNumber="1" containsInteger="1" minValue="0" maxValue="3"/>
    </cacheField>
    <cacheField name="Full paid" numFmtId="0">
      <sharedItems/>
    </cacheField>
    <cacheField name="Admission Date" numFmtId="14">
      <sharedItems containsSemiMixedTypes="0" containsNonDate="0" containsDate="1" containsString="0" minDate="2025-06-16T00:00:00" maxDate="2025-08-05T00:00:00"/>
    </cacheField>
    <cacheField name="Scholarship Status" numFmtId="0">
      <sharedItems/>
    </cacheField>
    <cacheField name="Amount of scholarship" numFmtId="0">
      <sharedItems containsSemiMixedTypes="0" containsString="0" containsNumber="1" containsInteger="1" minValue="0" maxValue="3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314.917742361111" createdVersion="8" refreshedVersion="8" minRefreshableVersion="3" recordCount="103" xr:uid="{55D52140-1D01-49A5-B94F-657A52BD1376}">
  <cacheSource type="worksheet">
    <worksheetSource ref="J1:J1048576" sheet="Student Detail"/>
  </cacheSource>
  <cacheFields count="1">
    <cacheField name="Course " numFmtId="0">
      <sharedItems containsBlank="1" count="21">
        <s v="Data Analytics"/>
        <s v="Computer Science"/>
        <s v="Business Administration"/>
        <s v="Mechanical Engineering"/>
        <s v="Civil Engineering"/>
        <s v="Electrical Engineering"/>
        <s v="Information Technology"/>
        <s v="Artificial Intelligence"/>
        <s v="Machine Learning"/>
        <s v="Cyber Security"/>
        <s v="Software Engineering"/>
        <s v="Cloud Computing"/>
        <s v="Digital Marketing"/>
        <s v="Finance"/>
        <s v="Human Resource Management"/>
        <s v="Accounting"/>
        <s v="Economics"/>
        <s v="Psychology"/>
        <s v="Graphic Design"/>
        <s v="Hotel Manageme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n v="1039"/>
    <s v=" Aarav Sharma"/>
    <s v="Male"/>
    <s v="aarav.sharma@gmail.com"/>
    <n v="24"/>
    <n v="48372615"/>
    <n v="14"/>
    <s v="Mumbai"/>
    <x v="0"/>
    <n v="95000"/>
    <n v="0"/>
    <s v="yes"/>
    <d v="2025-06-16T00:00:00"/>
    <s v="Yes"/>
    <n v="20000"/>
  </r>
  <r>
    <n v="2"/>
    <n v="1007"/>
    <s v=" Vihaan Patel"/>
    <s v="Male"/>
    <s v="vihaan.patel@gmail.com"/>
    <n v="18"/>
    <n v="91736482"/>
    <n v="12"/>
    <s v="Pune"/>
    <x v="1"/>
    <n v="110000"/>
    <n v="3"/>
    <s v="no"/>
    <d v="2025-06-16T00:00:00"/>
    <s v="Yes"/>
    <n v="25000"/>
  </r>
  <r>
    <n v="3"/>
    <n v="1078"/>
    <s v=" Aditya Verma"/>
    <s v="Male"/>
    <s v="aditya.verma@gmail.com"/>
    <n v="22"/>
    <n v="65829174"/>
    <n v="14"/>
    <s v="Thane"/>
    <x v="2"/>
    <n v="85000"/>
    <n v="3"/>
    <s v="no"/>
    <d v="2025-06-17T00:00:00"/>
    <s v="No"/>
    <n v="0"/>
  </r>
  <r>
    <n v="4"/>
    <n v="1070"/>
    <s v=" Arjun Singh"/>
    <s v="Male"/>
    <s v="arjun.singh@gmail.com"/>
    <n v="21"/>
    <n v="27491836"/>
    <n v="14"/>
    <s v="Nashik"/>
    <x v="3"/>
    <n v="120000"/>
    <n v="3"/>
    <s v="no"/>
    <d v="2025-06-17T00:00:00"/>
    <s v="Yes"/>
    <n v="30000"/>
  </r>
  <r>
    <n v="5"/>
    <n v="1003"/>
    <s v=" Rohan Mehta"/>
    <s v="Male"/>
    <s v="rohan.mehta@gmail.com"/>
    <n v="20"/>
    <n v="80573641"/>
    <n v="13"/>
    <s v="Nagpur"/>
    <x v="4"/>
    <n v="115000"/>
    <n v="3"/>
    <s v="no"/>
    <d v="2025-06-18T00:00:00"/>
    <s v="No"/>
    <n v="0"/>
  </r>
  <r>
    <n v="6"/>
    <n v="1043"/>
    <s v=" Rahul Gupta"/>
    <s v="Male"/>
    <s v="rahul.gupta@gmail.com"/>
    <n v="20"/>
    <n v="19384756"/>
    <n v="11"/>
    <s v="Aurangabad"/>
    <x v="5"/>
    <n v="118000"/>
    <n v="2"/>
    <s v="no"/>
    <d v="2025-06-18T00:00:00"/>
    <s v="Yes"/>
    <n v="25000"/>
  </r>
  <r>
    <n v="7"/>
    <n v="1093"/>
    <s v=" Karan Yadav"/>
    <s v="Male"/>
    <s v="karan.yadav@gmail.com"/>
    <n v="23"/>
    <n v="74628195"/>
    <n v="12"/>
    <s v="Kolhapur"/>
    <x v="6"/>
    <n v="105000"/>
    <n v="3"/>
    <s v="no"/>
    <d v="2025-06-18T00:00:00"/>
    <s v="Yes"/>
    <n v="20000"/>
  </r>
  <r>
    <n v="8"/>
    <n v="1022"/>
    <s v=" Aman Mishra"/>
    <s v="Male"/>
    <s v="aman.mishra@gmail.com"/>
    <n v="25"/>
    <n v="52837461"/>
    <n v="12"/>
    <s v="Navi Mumbai"/>
    <x v="7"/>
    <n v="130000"/>
    <n v="3"/>
    <s v="no"/>
    <d v="2025-06-19T00:00:00"/>
    <s v="Yes"/>
    <n v="35000"/>
  </r>
  <r>
    <n v="9"/>
    <n v="1009"/>
    <s v=" Vivek Tiwari"/>
    <s v="Male"/>
    <s v="vivek.tiwari@gmail.com"/>
    <n v="19"/>
    <n v="86421937"/>
    <n v="14"/>
    <s v="Kalyan"/>
    <x v="8"/>
    <n v="135000"/>
    <n v="3"/>
    <s v="no"/>
    <d v="2025-06-19T00:00:00"/>
    <s v="Yes"/>
    <n v="35000"/>
  </r>
  <r>
    <n v="10"/>
    <n v="1064"/>
    <s v=" Siddharth Jain"/>
    <s v="Male"/>
    <s v="siddharth.jain@gmail.com"/>
    <n v="20"/>
    <n v="31578264"/>
    <n v="11"/>
    <s v="Vasai"/>
    <x v="9"/>
    <n v="125000"/>
    <n v="2"/>
    <s v="no"/>
    <d v="2025-06-20T00:00:00"/>
    <s v="Yes"/>
    <n v="30000"/>
  </r>
  <r>
    <n v="11"/>
    <n v="1094"/>
    <s v=" Neha Sharma"/>
    <s v="Female"/>
    <s v="neha.sharma@gmail.com"/>
    <n v="18"/>
    <n v="90746381"/>
    <n v="12"/>
    <s v="Mumbai"/>
    <x v="10"/>
    <n v="115000"/>
    <n v="3"/>
    <s v="no"/>
    <d v="2025-06-20T00:00:00"/>
    <s v="Yes"/>
    <n v="25000"/>
  </r>
  <r>
    <n v="12"/>
    <n v="1081"/>
    <s v=" Priya Verma"/>
    <s v="Female"/>
    <s v="priya.verma@gmail.com"/>
    <n v="21"/>
    <n v="48192635"/>
    <n v="14"/>
    <s v="Pune"/>
    <x v="11"/>
    <n v="120000"/>
    <n v="3"/>
    <s v="no"/>
    <d v="2025-06-20T00:00:00"/>
    <s v="Yes"/>
    <n v="20000"/>
  </r>
  <r>
    <n v="13"/>
    <n v="1023"/>
    <s v=" Ananya Singh"/>
    <s v="Female"/>
    <s v="ananya.singh@gmail.com"/>
    <n v="19"/>
    <n v="76251849"/>
    <n v="11"/>
    <s v="Thane"/>
    <x v="12"/>
    <n v="80000"/>
    <n v="3"/>
    <s v="no"/>
    <d v="2025-06-21T00:00:00"/>
    <s v="No"/>
    <n v="0"/>
  </r>
  <r>
    <n v="14"/>
    <n v="1021"/>
    <s v=" Sneha Patel"/>
    <s v="Female"/>
    <s v="sneha.patel@gmail.com"/>
    <n v="24"/>
    <n v="23984716"/>
    <n v="15"/>
    <s v="Nashik"/>
    <x v="13"/>
    <n v="90000"/>
    <n v="2"/>
    <s v="no"/>
    <d v="2025-06-21T00:00:00"/>
    <s v="No"/>
    <n v="0"/>
  </r>
  <r>
    <n v="15"/>
    <n v="1092"/>
    <s v=" Pooja Gupta"/>
    <s v="Female"/>
    <s v="pooja.gupta@gmail.com"/>
    <n v="23"/>
    <n v="68419375"/>
    <n v="15"/>
    <s v="Nagpur"/>
    <x v="14"/>
    <n v="82000"/>
    <n v="3"/>
    <s v="no"/>
    <d v="2025-06-22T00:00:00"/>
    <s v="Yes"/>
    <n v="15000"/>
  </r>
  <r>
    <n v="16"/>
    <n v="1018"/>
    <s v=" Riya Mehta"/>
    <s v="Female"/>
    <s v="riya.mehta@gmail.com"/>
    <n v="23"/>
    <n v="51827493"/>
    <n v="15"/>
    <s v="Navi Mumbai"/>
    <x v="15"/>
    <n v="75000"/>
    <n v="3"/>
    <s v="no"/>
    <d v="2025-06-22T00:00:00"/>
    <s v="No"/>
    <n v="0"/>
  </r>
  <r>
    <n v="17"/>
    <n v="1048"/>
    <s v=" Kavya Nair"/>
    <s v="Female"/>
    <s v="kavya.nair@gmail.com"/>
    <n v="25"/>
    <n v="97163528"/>
    <n v="11"/>
    <s v="Kolhapur"/>
    <x v="16"/>
    <n v="70000"/>
    <n v="2"/>
    <s v="no"/>
    <d v="2025-06-23T00:00:00"/>
    <s v="Yes"/>
    <n v="15000"/>
  </r>
  <r>
    <n v="18"/>
    <n v="1100"/>
    <s v=" Aditi Kulkarni"/>
    <s v="Female"/>
    <s v="aditi.kulkarni@gmail.com"/>
    <n v="24"/>
    <n v="34679182"/>
    <n v="13"/>
    <s v="Aurangabad"/>
    <x v="17"/>
    <n v="78000"/>
    <n v="3"/>
    <s v="no"/>
    <d v="2025-06-23T00:00:00"/>
    <s v="Yes"/>
    <n v="18000"/>
  </r>
  <r>
    <n v="19"/>
    <n v="1095"/>
    <s v=" Simran Kaur"/>
    <s v="Female"/>
    <s v="simran.kaur@gmail.com"/>
    <n v="22"/>
    <n v="82541769"/>
    <n v="12"/>
    <s v="Kalyan"/>
    <x v="18"/>
    <n v="88000"/>
    <n v="3"/>
    <s v="no"/>
    <d v="2025-06-24T00:00:00"/>
    <s v="No"/>
    <n v="0"/>
  </r>
  <r>
    <n v="20"/>
    <n v="1052"/>
    <s v=" Nisha Choudhary"/>
    <s v="Female"/>
    <s v="nisha.choudhary@gmail.com"/>
    <n v="19"/>
    <n v="15493827"/>
    <n v="12"/>
    <s v="Vasai"/>
    <x v="19"/>
    <n v="98000"/>
    <n v="3"/>
    <s v="no"/>
    <d v="2025-06-24T00:00:00"/>
    <s v="Yes"/>
    <n v="20000"/>
  </r>
  <r>
    <n v="21"/>
    <n v="1004"/>
    <s v=" Aarav Verma"/>
    <s v="Male"/>
    <s v="aarav.verma@gmail.com"/>
    <n v="21"/>
    <n v="69387154"/>
    <n v="11"/>
    <s v="Mumbai"/>
    <x v="7"/>
    <n v="130000"/>
    <n v="2"/>
    <s v="no"/>
    <d v="2025-06-25T00:00:00"/>
    <s v="Yes"/>
    <n v="35000"/>
  </r>
  <r>
    <n v="22"/>
    <n v="1047"/>
    <s v=" Vihaan Sharma"/>
    <s v="Male"/>
    <s v="vihaan.sharma@gmail.com"/>
    <n v="24"/>
    <n v="28741639"/>
    <n v="14"/>
    <s v="Pune"/>
    <x v="8"/>
    <n v="135000"/>
    <n v="3"/>
    <s v="no"/>
    <d v="2025-06-25T00:00:00"/>
    <s v="Yes"/>
    <n v="35000"/>
  </r>
  <r>
    <n v="23"/>
    <n v="1091"/>
    <s v=" Arjun Patel"/>
    <s v="Male"/>
    <s v="arjun.patel@gmail.com"/>
    <n v="23"/>
    <n v="54198276"/>
    <n v="12"/>
    <s v="Thane"/>
    <x v="9"/>
    <n v="125000"/>
    <n v="2"/>
    <s v="no"/>
    <d v="2025-06-26T00:00:00"/>
    <s v="Yes"/>
    <n v="30000"/>
  </r>
  <r>
    <n v="24"/>
    <n v="1005"/>
    <s v=" Rohan Singh"/>
    <s v="Male"/>
    <s v="rohan.singh@gmail.com"/>
    <n v="20"/>
    <n v="83961742"/>
    <n v="13"/>
    <s v="Nagpur"/>
    <x v="10"/>
    <n v="115000"/>
    <n v="2"/>
    <s v="no"/>
    <d v="2025-06-26T00:00:00"/>
    <s v="Yes"/>
    <n v="25000"/>
  </r>
  <r>
    <n v="25"/>
    <n v="1025"/>
    <s v=" Rahul Mehta"/>
    <s v="Male"/>
    <s v="rahul.mehta@gmail.com"/>
    <n v="18"/>
    <n v="17258493"/>
    <n v="12"/>
    <s v="Nashik"/>
    <x v="7"/>
    <n v="130000"/>
    <n v="3"/>
    <s v="no"/>
    <d v="2025-06-27T00:00:00"/>
    <s v="Yes"/>
    <n v="35000"/>
  </r>
  <r>
    <n v="26"/>
    <n v="1040"/>
    <s v=" Karan Gupta"/>
    <s v="Male"/>
    <s v="karan.gupta@gmail.com"/>
    <n v="18"/>
    <n v="46829175"/>
    <n v="12"/>
    <s v="Kolhapur"/>
    <x v="8"/>
    <n v="135000"/>
    <n v="2"/>
    <s v="no"/>
    <d v="2025-06-27T00:00:00"/>
    <s v="Yes"/>
    <n v="35000"/>
  </r>
  <r>
    <n v="27"/>
    <n v="1060"/>
    <s v=" Aman Sharma"/>
    <s v="Male"/>
    <s v="aman.sharma@gmail.com"/>
    <n v="21"/>
    <n v="92573814"/>
    <n v="11"/>
    <s v="Navi Mumbai"/>
    <x v="9"/>
    <n v="125000"/>
    <n v="3"/>
    <s v="no"/>
    <d v="2025-06-28T00:00:00"/>
    <s v="Yes"/>
    <n v="30000"/>
  </r>
  <r>
    <n v="28"/>
    <n v="1096"/>
    <s v=" Aditya Yadav"/>
    <s v="Male"/>
    <s v="aditya.yadav@gmail.com"/>
    <n v="22"/>
    <n v="31746982"/>
    <n v="14"/>
    <s v="Kalyan"/>
    <x v="7"/>
    <n v="130000"/>
    <n v="2"/>
    <s v="no"/>
    <d v="2025-06-28T00:00:00"/>
    <s v="Yes"/>
    <n v="35000"/>
  </r>
  <r>
    <n v="29"/>
    <n v="1056"/>
    <s v=" Vivek Patel"/>
    <s v="Male"/>
    <s v="vivek.patel@gmail.com"/>
    <n v="22"/>
    <n v="75618439"/>
    <n v="14"/>
    <s v="Aurangabad"/>
    <x v="8"/>
    <n v="135000"/>
    <n v="2"/>
    <s v="no"/>
    <d v="2025-06-30T00:00:00"/>
    <s v="Yes"/>
    <n v="35000"/>
  </r>
  <r>
    <n v="30"/>
    <n v="1053"/>
    <s v=" Siddharth Mishra"/>
    <s v="Male"/>
    <s v="siddharth.mishra@gmail.com"/>
    <n v="23"/>
    <n v="28493761"/>
    <n v="13"/>
    <s v="Vasai"/>
    <x v="9"/>
    <n v="125000"/>
    <n v="3"/>
    <s v="no"/>
    <d v="2025-06-30T00:00:00"/>
    <s v="Yes"/>
    <n v="30000"/>
  </r>
  <r>
    <n v="31"/>
    <n v="1062"/>
    <s v=" Ishaan Deshmukh"/>
    <s v="Male"/>
    <s v="ishaan.deshmukh@gmail.com"/>
    <n v="21"/>
    <n v="69172584"/>
    <n v="11"/>
    <s v="Pune"/>
    <x v="10"/>
    <n v="115000"/>
    <n v="0"/>
    <s v="yes"/>
    <d v="2025-07-01T00:00:00"/>
    <s v="Yes"/>
    <n v="25000"/>
  </r>
  <r>
    <n v="32"/>
    <n v="1084"/>
    <s v=" Krish Malhotra"/>
    <s v="Male"/>
    <s v="krish.malhotra@gmail.com"/>
    <n v="23"/>
    <n v="43896127"/>
    <n v="14"/>
    <s v="Mumbai"/>
    <x v="7"/>
    <n v="130000"/>
    <n v="3"/>
    <s v="no"/>
    <d v="2025-07-01T00:00:00"/>
    <s v="Yes"/>
    <n v="35000"/>
  </r>
  <r>
    <n v="33"/>
    <n v="1073"/>
    <s v=" Dhruv Bansal"/>
    <s v="Male"/>
    <s v="dhruv.bansal@gmail.com"/>
    <n v="22"/>
    <n v="87521496"/>
    <n v="14"/>
    <s v="Nagpur"/>
    <x v="8"/>
    <n v="135000"/>
    <n v="2"/>
    <s v="no"/>
    <d v="2025-07-02T00:00:00"/>
    <s v="Yes"/>
    <n v="35000"/>
  </r>
  <r>
    <n v="34"/>
    <n v="1017"/>
    <s v=" Yash Agarwal"/>
    <s v="Male"/>
    <s v="yash.agarwal@gmail.com"/>
    <n v="24"/>
    <n v="12654783"/>
    <n v="13"/>
    <s v="Thane"/>
    <x v="9"/>
    <n v="125000"/>
    <n v="3"/>
    <s v="no"/>
    <d v="2025-07-02T00:00:00"/>
    <s v="Yes"/>
    <n v="30000"/>
  </r>
  <r>
    <n v="35"/>
    <n v="1034"/>
    <s v=" Manav Sinha"/>
    <s v="Male"/>
    <s v="manav.sinha@gmail.com"/>
    <n v="20"/>
    <n v="94381652"/>
    <n v="14"/>
    <s v="Nashik"/>
    <x v="10"/>
    <n v="115000"/>
    <n v="2"/>
    <s v="no"/>
    <d v="2025-07-03T00:00:00"/>
    <s v="Yes"/>
    <n v="25000"/>
  </r>
  <r>
    <n v="36"/>
    <n v="1098"/>
    <s v=" Harsh Chauhan"/>
    <s v="Male"/>
    <s v="harsh.chauhan@gmail.com"/>
    <n v="23"/>
    <n v="58273164"/>
    <n v="14"/>
    <s v="Navi Mumbai"/>
    <x v="2"/>
    <n v="85000"/>
    <n v="3"/>
    <s v="no"/>
    <d v="2025-07-03T00:00:00"/>
    <s v="No"/>
    <n v="0"/>
  </r>
  <r>
    <n v="37"/>
    <n v="1089"/>
    <s v=" Akash Reddy"/>
    <s v="Male"/>
    <s v="akash.reddy@gmail.com"/>
    <n v="23"/>
    <n v="71495823"/>
    <n v="15"/>
    <s v="Kolhapur"/>
    <x v="3"/>
    <n v="120000"/>
    <n v="2"/>
    <s v="no"/>
    <d v="2025-07-04T00:00:00"/>
    <s v="Yes"/>
    <n v="30000"/>
  </r>
  <r>
    <n v="38"/>
    <n v="1088"/>
    <s v=" Rohit Joshi"/>
    <s v="Male"/>
    <s v="rohit.joshi@gmail.com"/>
    <n v="20"/>
    <n v="36812579"/>
    <n v="11"/>
    <s v="Kalyan"/>
    <x v="4"/>
    <n v="115000"/>
    <n v="3"/>
    <s v="no"/>
    <d v="2025-07-04T00:00:00"/>
    <s v="No"/>
    <n v="0"/>
  </r>
  <r>
    <n v="39"/>
    <n v="1050"/>
    <s v=" Mohit Saxena"/>
    <s v="Male"/>
    <s v="mohit.saxena@gmail.com"/>
    <n v="23"/>
    <n v="89746215"/>
    <n v="13"/>
    <s v="Vasai"/>
    <x v="5"/>
    <n v="118000"/>
    <n v="0"/>
    <s v="yes"/>
    <d v="2025-07-05T00:00:00"/>
    <s v="Yes"/>
    <n v="25000"/>
  </r>
  <r>
    <n v="40"/>
    <n v="1008"/>
    <s v=" Nitin Pandey"/>
    <s v="Male"/>
    <s v="nitin.pandey@gmail.com"/>
    <n v="22"/>
    <n v="25179384"/>
    <n v="15"/>
    <s v="Aurangabad"/>
    <x v="6"/>
    <n v="105000"/>
    <n v="0"/>
    <s v="yes"/>
    <d v="2025-07-05T00:00:00"/>
    <s v="Yes"/>
    <n v="20000"/>
  </r>
  <r>
    <n v="41"/>
    <n v="1032"/>
    <s v=" Tanvi Sharma"/>
    <s v="Female"/>
    <s v="tanvi.sharma@gmail.com"/>
    <n v="19"/>
    <n v="67438591"/>
    <n v="13"/>
    <s v="Mumbai"/>
    <x v="7"/>
    <n v="130000"/>
    <n v="3"/>
    <s v="no"/>
    <d v="2025-07-06T00:00:00"/>
    <s v="Yes"/>
    <n v="35000"/>
  </r>
  <r>
    <n v="42"/>
    <n v="1075"/>
    <s v=" Muskan Verma"/>
    <s v="Female"/>
    <s v="muskan.verma@gmail.com"/>
    <n v="22"/>
    <n v="93851724"/>
    <n v="11"/>
    <s v="Pune"/>
    <x v="8"/>
    <n v="135000"/>
    <n v="3"/>
    <s v="no"/>
    <d v="2025-07-06T00:00:00"/>
    <s v="Yes"/>
    <n v="35000"/>
  </r>
  <r>
    <n v="43"/>
    <n v="1038"/>
    <s v=" Sakshi Singh"/>
    <s v="Female"/>
    <s v="sakshi.singh@gmail.com"/>
    <n v="20"/>
    <n v="14586937"/>
    <n v="12"/>
    <s v="Nashik"/>
    <x v="9"/>
    <n v="125000"/>
    <n v="2"/>
    <s v="no"/>
    <d v="2025-07-07T00:00:00"/>
    <s v="Yes"/>
    <n v="30000"/>
  </r>
  <r>
    <n v="44"/>
    <n v="1026"/>
    <s v=" Ishita Patel"/>
    <s v="Female"/>
    <s v="ishita.patel@gmail.com"/>
    <n v="19"/>
    <n v="78629415"/>
    <n v="11"/>
    <s v="Thane"/>
    <x v="10"/>
    <n v="115000"/>
    <n v="3"/>
    <s v="no"/>
    <d v="2025-07-07T00:00:00"/>
    <s v="Yes"/>
    <n v="25000"/>
  </r>
  <r>
    <n v="45"/>
    <n v="1006"/>
    <s v=" Kriti Gupta"/>
    <s v="Female"/>
    <s v="kriti.gupta@gmail.com"/>
    <n v="23"/>
    <n v="32947168"/>
    <n v="15"/>
    <s v="Nagpur"/>
    <x v="4"/>
    <n v="115000"/>
    <n v="2"/>
    <s v="no"/>
    <d v="2025-07-08T00:00:00"/>
    <s v="No"/>
    <n v="0"/>
  </r>
  <r>
    <n v="46"/>
    <n v="1028"/>
    <s v=" Shreya Mehta"/>
    <s v="Female"/>
    <s v="shreya.mehta@gmail.com"/>
    <n v="18"/>
    <n v="86175249"/>
    <n v="15"/>
    <s v="Kolhapur"/>
    <x v="5"/>
    <n v="118000"/>
    <n v="3"/>
    <s v="no"/>
    <d v="2025-07-08T00:00:00"/>
    <s v="Yes"/>
    <n v="25000"/>
  </r>
  <r>
    <n v="47"/>
    <n v="1059"/>
    <s v=" Anjali Nair"/>
    <s v="Female"/>
    <s v="anjali.nair@gmail.com"/>
    <n v="24"/>
    <n v="49713682"/>
    <n v="14"/>
    <s v="Navi Mumbai"/>
    <x v="6"/>
    <n v="105000"/>
    <n v="3"/>
    <s v="no"/>
    <d v="2025-07-09T00:00:00"/>
    <s v="Yes"/>
    <n v="20000"/>
  </r>
  <r>
    <n v="48"/>
    <n v="1068"/>
    <s v=" Divya Kulkarni"/>
    <s v="Female"/>
    <s v="divya.kulkarni@gmail.com"/>
    <n v="23"/>
    <n v="21598473"/>
    <n v="12"/>
    <s v="Aurangabad"/>
    <x v="7"/>
    <n v="130000"/>
    <n v="3"/>
    <s v="no"/>
    <d v="2025-07-09T00:00:00"/>
    <s v="Yes"/>
    <n v="35000"/>
  </r>
  <r>
    <n v="49"/>
    <n v="1024"/>
    <s v=" Meera Kapoor"/>
    <s v="Female"/>
    <s v="meera.kapoor@gmail.com"/>
    <n v="24"/>
    <n v="75362814"/>
    <n v="13"/>
    <s v="Vasai"/>
    <x v="8"/>
    <n v="135000"/>
    <n v="3"/>
    <s v="no"/>
    <d v="2025-07-10T00:00:00"/>
    <s v="Yes"/>
    <n v="35000"/>
  </r>
  <r>
    <n v="50"/>
    <n v="1090"/>
    <s v=" Ritika Saini"/>
    <s v="Female"/>
    <s v="ritika.saini@gmail.com"/>
    <n v="19"/>
    <n v="68472591"/>
    <n v="12"/>
    <s v="Kalyan"/>
    <x v="9"/>
    <n v="125000"/>
    <n v="2"/>
    <s v="no"/>
    <d v="2025-07-10T00:00:00"/>
    <s v="Yes"/>
    <n v="30000"/>
  </r>
  <r>
    <n v="51"/>
    <n v="1086"/>
    <s v=" Aarohi Sharma"/>
    <s v="Female"/>
    <s v="aarohi.sharma@gmail.com"/>
    <n v="23"/>
    <n v="91725834"/>
    <n v="14"/>
    <s v="Mumbai"/>
    <x v="10"/>
    <n v="115000"/>
    <n v="3"/>
    <s v="no"/>
    <d v="2025-07-11T00:00:00"/>
    <s v="Yes"/>
    <n v="25000"/>
  </r>
  <r>
    <n v="52"/>
    <n v="1020"/>
    <s v=" Diya Verma"/>
    <s v="Female"/>
    <s v="diya.verma@gmail.com"/>
    <n v="25"/>
    <n v="43857216"/>
    <n v="14"/>
    <s v="Nagpur"/>
    <x v="11"/>
    <n v="120000"/>
    <n v="3"/>
    <s v="no"/>
    <d v="2025-07-11T00:00:00"/>
    <s v="Yes"/>
    <n v="20000"/>
  </r>
  <r>
    <n v="53"/>
    <n v="1082"/>
    <s v=" Nandini Singh"/>
    <s v="Female"/>
    <s v="nandini.singh@gmail.com"/>
    <n v="20"/>
    <n v="26514987"/>
    <n v="14"/>
    <s v="Pune"/>
    <x v="3"/>
    <n v="120000"/>
    <n v="2"/>
    <s v="no"/>
    <d v="2025-07-12T00:00:00"/>
    <s v="Yes"/>
    <n v="30000"/>
  </r>
  <r>
    <n v="54"/>
    <n v="1055"/>
    <s v=" Sanjana Patel"/>
    <s v="Female"/>
    <s v="sanjana.patel@gmail.com"/>
    <n v="21"/>
    <n v="87439152"/>
    <n v="14"/>
    <s v="Thane"/>
    <x v="4"/>
    <n v="115000"/>
    <n v="2"/>
    <s v="no"/>
    <d v="2025-07-12T00:00:00"/>
    <s v="No"/>
    <n v="0"/>
  </r>
  <r>
    <n v="55"/>
    <n v="1069"/>
    <s v=" Bhavna Gupta"/>
    <s v="Female"/>
    <s v="bhavna.gupta@gmail.com"/>
    <n v="22"/>
    <n v="53182749"/>
    <n v="14"/>
    <s v="Nashik"/>
    <x v="5"/>
    <n v="118000"/>
    <n v="2"/>
    <s v="no"/>
    <d v="2025-07-13T00:00:00"/>
    <s v="Yes"/>
    <n v="25000"/>
  </r>
  <r>
    <n v="56"/>
    <n v="1042"/>
    <s v=" Palak Mehta"/>
    <s v="Female"/>
    <s v="palak.mehta@gmail.com"/>
    <n v="21"/>
    <n v="79261538"/>
    <n v="13"/>
    <s v="Kalyan"/>
    <x v="6"/>
    <n v="105000"/>
    <n v="3"/>
    <s v="no"/>
    <d v="2025-07-13T00:00:00"/>
    <s v="Yes"/>
    <n v="20000"/>
  </r>
  <r>
    <n v="57"/>
    <n v="1085"/>
    <s v=" Vaishnavi Nair"/>
    <s v="Female"/>
    <s v="vaishnavi.nair@gmail.com"/>
    <n v="19"/>
    <n v="14697325"/>
    <n v="12"/>
    <s v="Kolhapur"/>
    <x v="7"/>
    <n v="130000"/>
    <n v="3"/>
    <s v="no"/>
    <d v="2025-07-14T00:00:00"/>
    <s v="Yes"/>
    <n v="35000"/>
  </r>
  <r>
    <n v="58"/>
    <n v="1067"/>
    <s v=" Anushka Kulkarni"/>
    <s v="Female"/>
    <s v="anushka.kulkarni@gmail.com"/>
    <n v="21"/>
    <n v="95824176"/>
    <n v="12"/>
    <s v="Navi Mumbai"/>
    <x v="8"/>
    <n v="135000"/>
    <n v="0"/>
    <s v="yes"/>
    <d v="2025-07-14T00:00:00"/>
    <s v="Yes"/>
    <n v="35000"/>
  </r>
  <r>
    <n v="59"/>
    <n v="1030"/>
    <s v=" Radhika Kapoor"/>
    <s v="Female"/>
    <s v="radhika.kapoor@gmail.com"/>
    <n v="21"/>
    <n v="32768491"/>
    <n v="14"/>
    <s v="Vasai"/>
    <x v="9"/>
    <n v="125000"/>
    <n v="2"/>
    <s v="no"/>
    <d v="2025-07-15T00:00:00"/>
    <s v="Yes"/>
    <n v="30000"/>
  </r>
  <r>
    <n v="60"/>
    <n v="1061"/>
    <s v=" Khushi Choudhary"/>
    <s v="Female"/>
    <s v="khushi.choudhary@gmail.com"/>
    <n v="18"/>
    <n v="68591743"/>
    <n v="14"/>
    <s v="Aurangabad"/>
    <x v="10"/>
    <n v="115000"/>
    <n v="2"/>
    <s v="no"/>
    <d v="2025-07-15T00:00:00"/>
    <s v="Yes"/>
    <n v="25000"/>
  </r>
  <r>
    <n v="61"/>
    <n v="1019"/>
    <s v=" Aryan Sharma"/>
    <s v="Male"/>
    <s v="aryan.sharma@gmail.com"/>
    <n v="23"/>
    <n v="41973682"/>
    <n v="12"/>
    <s v="Pune"/>
    <x v="16"/>
    <n v="70000"/>
    <n v="2"/>
    <s v="no"/>
    <d v="2025-07-16T00:00:00"/>
    <s v="Yes"/>
    <n v="15000"/>
  </r>
  <r>
    <n v="62"/>
    <n v="1035"/>
    <s v=" Aryan Verma"/>
    <s v="Male"/>
    <s v="aryan.verma@gmail.com"/>
    <n v="20"/>
    <n v="87324516"/>
    <n v="11"/>
    <s v="Mumbai"/>
    <x v="12"/>
    <n v="80000"/>
    <n v="0"/>
    <s v="yes"/>
    <d v="2025-07-16T00:00:00"/>
    <s v="No"/>
    <n v="0"/>
  </r>
  <r>
    <n v="63"/>
    <n v="1036"/>
    <s v=" Aryan Patel"/>
    <s v="Male"/>
    <s v="aryan.patel@gmail.com"/>
    <n v="23"/>
    <n v="25486197"/>
    <n v="15"/>
    <s v="Thane"/>
    <x v="13"/>
    <n v="90000"/>
    <n v="3"/>
    <s v="no"/>
    <d v="2025-07-17T00:00:00"/>
    <s v="No"/>
    <n v="0"/>
  </r>
  <r>
    <n v="64"/>
    <n v="1012"/>
    <s v=" Aryan Singh"/>
    <s v="Male"/>
    <s v="aryan.singh@gmail.com"/>
    <n v="24"/>
    <n v="71639284"/>
    <n v="12"/>
    <s v="Nagpur"/>
    <x v="0"/>
    <n v="95000"/>
    <n v="3"/>
    <s v="no"/>
    <d v="2025-07-17T00:00:00"/>
    <s v="Yes"/>
    <n v="20000"/>
  </r>
  <r>
    <n v="65"/>
    <n v="1044"/>
    <s v=" Aryan Gupta"/>
    <s v="Male"/>
    <s v="aryan.gupta@gmail.com"/>
    <n v="25"/>
    <n v="94817523"/>
    <n v="11"/>
    <s v="Nashik"/>
    <x v="1"/>
    <n v="110000"/>
    <n v="2"/>
    <s v="no"/>
    <d v="2025-07-18T00:00:00"/>
    <s v="Yes"/>
    <n v="25000"/>
  </r>
  <r>
    <n v="66"/>
    <n v="1010"/>
    <s v=" Dev Sharma"/>
    <s v="Male"/>
    <s v="dev.sharma@gmail.com"/>
    <n v="18"/>
    <n v="36572841"/>
    <n v="12"/>
    <s v="Kolhapur"/>
    <x v="2"/>
    <n v="85000"/>
    <n v="3"/>
    <s v="no"/>
    <d v="2025-07-18T00:00:00"/>
    <s v="No"/>
    <n v="0"/>
  </r>
  <r>
    <n v="67"/>
    <n v="1097"/>
    <s v=" Dev Patel"/>
    <s v="Male"/>
    <s v="dev.patel@gmail.com"/>
    <n v="18"/>
    <n v="82154976"/>
    <n v="11"/>
    <s v="Aurangabad"/>
    <x v="3"/>
    <n v="120000"/>
    <n v="2"/>
    <s v="no"/>
    <d v="2025-07-19T00:00:00"/>
    <s v="Yes"/>
    <n v="30000"/>
  </r>
  <r>
    <n v="68"/>
    <n v="1049"/>
    <s v=" Dev Verma"/>
    <s v="Male"/>
    <s v="dev.verma@gmail.com"/>
    <n v="21"/>
    <n v="59736184"/>
    <n v="13"/>
    <s v="Kalyan"/>
    <x v="4"/>
    <n v="115000"/>
    <n v="0"/>
    <s v="yes"/>
    <d v="2025-07-19T00:00:00"/>
    <s v="No"/>
    <n v="0"/>
  </r>
  <r>
    <n v="69"/>
    <n v="1046"/>
    <s v=" Dev Mishra"/>
    <s v="Male"/>
    <s v="dev.mishra@gmail.com"/>
    <n v="23"/>
    <n v="13278495"/>
    <n v="14"/>
    <s v="Navi Mumbai"/>
    <x v="5"/>
    <n v="118000"/>
    <n v="3"/>
    <s v="no"/>
    <d v="2025-07-20T00:00:00"/>
    <s v="Yes"/>
    <n v="25000"/>
  </r>
  <r>
    <n v="70"/>
    <n v="1045"/>
    <s v=" Dev Yadav"/>
    <s v="Male"/>
    <s v="dev.yadav@gmail.com"/>
    <n v="18"/>
    <n v="76481925"/>
    <n v="15"/>
    <s v="Vasai"/>
    <x v="6"/>
    <n v="105000"/>
    <n v="3"/>
    <s v="no"/>
    <d v="2025-07-20T00:00:00"/>
    <s v="Yes"/>
    <n v="20000"/>
  </r>
  <r>
    <n v="71"/>
    <n v="1033"/>
    <s v=" Lakshay Sharma"/>
    <s v="Male"/>
    <s v="lakshay.sharma@gmail.com"/>
    <n v="22"/>
    <n v="28954371"/>
    <n v="13"/>
    <s v="Mumbai"/>
    <x v="7"/>
    <n v="130000"/>
    <n v="3"/>
    <s v="no"/>
    <d v="2025-07-21T00:00:00"/>
    <s v="Yes"/>
    <n v="35000"/>
  </r>
  <r>
    <n v="72"/>
    <n v="1051"/>
    <s v=" Lakshay Gupta"/>
    <s v="Male"/>
    <s v="lakshay.gupta@gmail.com"/>
    <n v="22"/>
    <n v="91567248"/>
    <n v="13"/>
    <s v="Pune"/>
    <x v="8"/>
    <n v="135000"/>
    <n v="2"/>
    <s v="no"/>
    <d v="2025-07-21T00:00:00"/>
    <s v="Yes"/>
    <n v="35000"/>
  </r>
  <r>
    <n v="73"/>
    <n v="1027"/>
    <s v=" Laksh Verma"/>
    <s v="Male"/>
    <s v="laksh.verma@gmail.com"/>
    <n v="25"/>
    <n v="34625819"/>
    <n v="11"/>
    <s v="Nagpur"/>
    <x v="9"/>
    <n v="125000"/>
    <n v="2"/>
    <s v="no"/>
    <d v="2025-07-22T00:00:00"/>
    <s v="Yes"/>
    <n v="30000"/>
  </r>
  <r>
    <n v="74"/>
    <n v="1099"/>
    <s v=" Laksh Patel"/>
    <s v="Male"/>
    <s v="laksh.patel@gmail.com"/>
    <n v="19"/>
    <n v="87193462"/>
    <n v="14"/>
    <s v="Thane"/>
    <x v="10"/>
    <n v="115000"/>
    <n v="2"/>
    <s v="no"/>
    <d v="2025-07-22T00:00:00"/>
    <s v="Yes"/>
    <n v="25000"/>
  </r>
  <r>
    <n v="75"/>
    <n v="1087"/>
    <s v=" Laksh Singh"/>
    <s v="Male"/>
    <s v="laksh.singh@gmail.com"/>
    <n v="21"/>
    <n v="52418697"/>
    <n v="12"/>
    <s v="Nashik"/>
    <x v="11"/>
    <n v="120000"/>
    <n v="0"/>
    <s v="yes"/>
    <d v="2025-07-23T00:00:00"/>
    <s v="Yes"/>
    <n v="20000"/>
  </r>
  <r>
    <n v="76"/>
    <n v="1002"/>
    <s v=" Om Prakash Yadav"/>
    <s v="Male"/>
    <s v="omprakash.yadav@gmail.com"/>
    <n v="23"/>
    <n v="78361945"/>
    <n v="13"/>
    <s v="Kolhapur"/>
    <x v="12"/>
    <n v="80000"/>
    <n v="0"/>
    <s v="yes"/>
    <d v="2025-07-23T00:00:00"/>
    <s v="No"/>
    <n v="0"/>
  </r>
  <r>
    <n v="77"/>
    <n v="1058"/>
    <s v=" Ravi Kumar Sharma"/>
    <s v="Male"/>
    <s v="ravikumar.sharma@gmail.com"/>
    <n v="23"/>
    <n v="16849523"/>
    <n v="13"/>
    <s v="Navi Mumbai"/>
    <x v="3"/>
    <n v="120000"/>
    <n v="2"/>
    <s v="no"/>
    <d v="2025-07-24T00:00:00"/>
    <s v="Yes"/>
    <n v="30000"/>
  </r>
  <r>
    <n v="78"/>
    <n v="1013"/>
    <s v=" Sunil Kumar Gupta"/>
    <s v="Male"/>
    <s v="sunilkumar.gupta@gmail.com"/>
    <n v="23"/>
    <n v="95273481"/>
    <n v="15"/>
    <s v="Kalyan"/>
    <x v="4"/>
    <n v="115000"/>
    <n v="2"/>
    <s v="no"/>
    <d v="2025-07-24T00:00:00"/>
    <s v="Yes"/>
    <n v="0"/>
  </r>
  <r>
    <n v="79"/>
    <n v="1037"/>
    <s v=" Deepak Kumar Singh"/>
    <s v="Male"/>
    <s v="deepakkumar.singh@gmail.com"/>
    <n v="24"/>
    <n v="43781526"/>
    <n v="14"/>
    <s v="Aurangabad"/>
    <x v="5"/>
    <n v="118000"/>
    <n v="3"/>
    <s v="no"/>
    <d v="2025-07-25T00:00:00"/>
    <s v="No"/>
    <n v="25000"/>
  </r>
  <r>
    <n v="80"/>
    <n v="1015"/>
    <s v=" Rajesh Kumar Verma"/>
    <s v="Male"/>
    <s v="rajeshkumar.verma@gmail.com"/>
    <n v="24"/>
    <n v="69524178"/>
    <n v="13"/>
    <s v="Vasai"/>
    <x v="6"/>
    <n v="105000"/>
    <n v="2"/>
    <s v="no"/>
    <d v="2025-07-25T00:00:00"/>
    <s v="Yes"/>
    <n v="20000"/>
  </r>
  <r>
    <n v="81"/>
    <n v="1011"/>
    <s v=" Suman Kumari"/>
    <s v="Female"/>
    <s v="suman.kumari@gmail.com"/>
    <n v="24"/>
    <n v="21457893"/>
    <n v="14"/>
    <s v="Pune"/>
    <x v="7"/>
    <n v="130000"/>
    <n v="2"/>
    <s v="no"/>
    <d v="2025-07-26T00:00:00"/>
    <s v="Yes"/>
    <n v="35000"/>
  </r>
  <r>
    <n v="82"/>
    <n v="1079"/>
    <s v="Rekha Devi"/>
    <s v="Female"/>
    <s v="rekha.devi@gmail.com"/>
    <n v="22"/>
    <n v="87615249"/>
    <n v="15"/>
    <s v="Mumbai"/>
    <x v="8"/>
    <n v="135000"/>
    <n v="2"/>
    <s v="no"/>
    <d v="2025-07-26T00:00:00"/>
    <s v="Yes"/>
    <n v="35000"/>
  </r>
  <r>
    <n v="83"/>
    <n v="1001"/>
    <s v="Anita Sharma"/>
    <s v="Female"/>
    <s v="anita.sharma@gmail.com"/>
    <n v="18"/>
    <n v="35192768"/>
    <n v="11"/>
    <s v="Thane"/>
    <x v="9"/>
    <n v="125000"/>
    <n v="3"/>
    <s v="no"/>
    <d v="2025-07-27T00:00:00"/>
    <s v="Yes"/>
    <n v="30000"/>
  </r>
  <r>
    <n v="84"/>
    <n v="1031"/>
    <s v=" Seema Verma"/>
    <s v="Female"/>
    <s v="seema.verma@gmail.com"/>
    <n v="19"/>
    <n v="74831695"/>
    <n v="13"/>
    <s v="Nagpur"/>
    <x v="10"/>
    <n v="115000"/>
    <n v="3"/>
    <s v="no"/>
    <d v="2025-07-27T00:00:00"/>
    <s v="Yes"/>
    <n v="25000"/>
  </r>
  <r>
    <n v="85"/>
    <n v="1057"/>
    <s v=" Jyoti Singh"/>
    <s v="Female"/>
    <s v="jyoti.singh@gmail.com"/>
    <n v="18"/>
    <n v="52968417"/>
    <n v="14"/>
    <s v="Nashik"/>
    <x v="11"/>
    <n v="120000"/>
    <n v="3"/>
    <s v="no"/>
    <d v="2025-07-28T00:00:00"/>
    <s v="Yes"/>
    <n v="20000"/>
  </r>
  <r>
    <n v="86"/>
    <n v="1076"/>
    <s v=" Gaurav Sharma"/>
    <s v="Male"/>
    <s v="gaurav.sharma@gmail.com"/>
    <n v="19"/>
    <n v="18374652"/>
    <n v="12"/>
    <s v="Kolhapur"/>
    <x v="12"/>
    <n v="80000"/>
    <n v="0"/>
    <s v="yes"/>
    <d v="2025-07-28T00:00:00"/>
    <s v="Yes"/>
    <n v="0"/>
  </r>
  <r>
    <n v="87"/>
    <n v="1063"/>
    <s v=" Gaurav Verma"/>
    <s v="Male"/>
    <s v="gaurav.verma@gmail.com"/>
    <n v="23"/>
    <n v="96427185"/>
    <n v="14"/>
    <s v="Kalyan"/>
    <x v="13"/>
    <n v="90000"/>
    <n v="3"/>
    <s v="no"/>
    <d v="2025-07-29T00:00:00"/>
    <s v="Yes"/>
    <n v="0"/>
  </r>
  <r>
    <n v="88"/>
    <n v="1071"/>
    <s v=" Gaurav Patel"/>
    <s v="Male"/>
    <s v="gaurav.patel@gmail.com"/>
    <n v="22"/>
    <n v="42759361"/>
    <n v="14"/>
    <s v="Navi Mumbai"/>
    <x v="0"/>
    <n v="95000"/>
    <n v="0"/>
    <s v="yes"/>
    <d v="2025-07-29T00:00:00"/>
    <s v="No"/>
    <n v="20000"/>
  </r>
  <r>
    <n v="89"/>
    <n v="1074"/>
    <s v=" Gaurav Singh"/>
    <s v="Male"/>
    <s v="gaurav.singh@gmail.com"/>
    <n v="18"/>
    <n v="81593472"/>
    <n v="13"/>
    <s v="Aurangabad"/>
    <x v="1"/>
    <n v="110000"/>
    <n v="2"/>
    <s v="no"/>
    <d v="2025-07-30T00:00:00"/>
    <s v="No"/>
    <n v="25000"/>
  </r>
  <r>
    <n v="90"/>
    <n v="1054"/>
    <s v=" Gaurav Gupta"/>
    <s v="Male"/>
    <s v="gaurav.gupta@gmail.com"/>
    <n v="20"/>
    <n v="67214839"/>
    <n v="11"/>
    <s v="Vasai"/>
    <x v="2"/>
    <n v="85000"/>
    <n v="2"/>
    <s v="no"/>
    <d v="2025-07-30T00:00:00"/>
    <s v="Yes"/>
    <n v="0"/>
  </r>
  <r>
    <n v="91"/>
    <n v="1072"/>
    <s v=" Nishant Tiwari"/>
    <s v="Male"/>
    <s v="nishant.tiwari@gmail.com"/>
    <n v="24"/>
    <n v="23951684"/>
    <n v="12"/>
    <s v="Mumbai"/>
    <x v="3"/>
    <n v="120000"/>
    <n v="0"/>
    <s v="yes"/>
    <d v="2025-07-31T00:00:00"/>
    <s v="Yes"/>
    <n v="30000"/>
  </r>
  <r>
    <n v="92"/>
    <n v="1080"/>
    <s v=" Abhishek Dubey"/>
    <s v="Male"/>
    <s v="abhishek.dubey@gmail.com"/>
    <n v="22"/>
    <n v="78462513"/>
    <n v="12"/>
    <s v="Pune"/>
    <x v="16"/>
    <n v="70000"/>
    <n v="0"/>
    <s v="yes"/>
    <d v="2025-07-31T00:00:00"/>
    <s v="No"/>
    <n v="15000"/>
  </r>
  <r>
    <n v="93"/>
    <n v="1077"/>
    <s v=" Prateek Srivastava"/>
    <s v="Male"/>
    <s v="prateek.srivastava@gmail.com"/>
    <n v="19"/>
    <n v="14685297"/>
    <n v="15"/>
    <s v="Nagpur"/>
    <x v="5"/>
    <n v="118000"/>
    <n v="2"/>
    <s v="no"/>
    <d v="2025-08-01T00:00:00"/>
    <s v="Yes"/>
    <n v="25000"/>
  </r>
  <r>
    <n v="94"/>
    <n v="1029"/>
    <s v=" Mayank Chaturvedi"/>
    <s v="Male"/>
    <s v="mayank.chaturvedi@gmail.com"/>
    <n v="21"/>
    <n v="95876321"/>
    <n v="12"/>
    <s v="Thane"/>
    <x v="6"/>
    <n v="105000"/>
    <n v="2"/>
    <s v="no"/>
    <d v="2025-08-01T00:00:00"/>
    <s v="Yes"/>
    <n v="20000"/>
  </r>
  <r>
    <n v="95"/>
    <n v="1014"/>
    <s v=" Chetan Rathore"/>
    <s v="Male"/>
    <s v="chetan.rathore@gmail.com"/>
    <n v="18"/>
    <n v="38149756"/>
    <n v="11"/>
    <s v="Nashik"/>
    <x v="7"/>
    <n v="130000"/>
    <n v="2"/>
    <s v="no"/>
    <d v="2025-08-02T00:00:00"/>
    <s v="Yes"/>
    <n v="35000"/>
  </r>
  <r>
    <n v="96"/>
    <n v="1083"/>
    <s v=" Saurabh Tomar"/>
    <s v="Male"/>
    <s v="saurabh.tomar@gmail.com"/>
    <n v="23"/>
    <n v="62791548"/>
    <n v="15"/>
    <s v="Mumbai"/>
    <x v="8"/>
    <n v="135000"/>
    <n v="0"/>
    <s v="yes"/>
    <d v="2025-08-02T00:00:00"/>
    <s v="Yes"/>
    <n v="35000"/>
  </r>
  <r>
    <n v="97"/>
    <n v="1066"/>
    <s v=" Hemant Solanki"/>
    <s v="Male"/>
    <s v="hemant.solanki@gmail.com"/>
    <n v="21"/>
    <n v="51328479"/>
    <n v="13"/>
    <s v="Pune"/>
    <x v="9"/>
    <n v="125000"/>
    <n v="2"/>
    <s v="no"/>
    <d v="2025-08-03T00:00:00"/>
    <s v="Yes"/>
    <n v="30000"/>
  </r>
  <r>
    <n v="98"/>
    <n v="1065"/>
    <s v=" Varun Bhardwaj"/>
    <s v="Male"/>
    <s v="varun.bhardwaj@gmail.com"/>
    <n v="19"/>
    <n v="89416735"/>
    <n v="12"/>
    <s v="Thane"/>
    <x v="10"/>
    <n v="115000"/>
    <n v="2"/>
    <s v="no"/>
    <d v="2025-08-03T00:00:00"/>
    <s v="Yes"/>
    <n v="25000"/>
  </r>
  <r>
    <n v="99"/>
    <n v="1041"/>
    <s v=" Nikita Arora"/>
    <s v="Female"/>
    <s v="nikita.arora@gmail.com"/>
    <n v="23"/>
    <n v="27563814"/>
    <n v="12"/>
    <s v="Nashik"/>
    <x v="11"/>
    <n v="120000"/>
    <n v="3"/>
    <s v="no"/>
    <d v="2025-08-04T00:00:00"/>
    <s v="Yes"/>
    <n v="20000"/>
  </r>
  <r>
    <n v="100"/>
    <n v="1016"/>
    <s v=" Shruti Bhatia"/>
    <s v="Female"/>
    <s v="shruti.bhatia@gmail.com"/>
    <n v="23"/>
    <n v="95876221"/>
    <n v="11"/>
    <s v="Nagpur"/>
    <x v="12"/>
    <n v="80000"/>
    <n v="2"/>
    <s v="no"/>
    <d v="2025-08-04T00:00:00"/>
    <s v="Yes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7"/>
  </r>
  <r>
    <x v="8"/>
  </r>
  <r>
    <x v="9"/>
  </r>
  <r>
    <x v="10"/>
  </r>
  <r>
    <x v="7"/>
  </r>
  <r>
    <x v="8"/>
  </r>
  <r>
    <x v="9"/>
  </r>
  <r>
    <x v="7"/>
  </r>
  <r>
    <x v="8"/>
  </r>
  <r>
    <x v="9"/>
  </r>
  <r>
    <x v="10"/>
  </r>
  <r>
    <x v="7"/>
  </r>
  <r>
    <x v="8"/>
  </r>
  <r>
    <x v="9"/>
  </r>
  <r>
    <x v="10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4"/>
  </r>
  <r>
    <x v="5"/>
  </r>
  <r>
    <x v="6"/>
  </r>
  <r>
    <x v="7"/>
  </r>
  <r>
    <x v="8"/>
  </r>
  <r>
    <x v="9"/>
  </r>
  <r>
    <x v="10"/>
  </r>
  <r>
    <x v="11"/>
  </r>
  <r>
    <x v="3"/>
  </r>
  <r>
    <x v="4"/>
  </r>
  <r>
    <x v="5"/>
  </r>
  <r>
    <x v="6"/>
  </r>
  <r>
    <x v="7"/>
  </r>
  <r>
    <x v="8"/>
  </r>
  <r>
    <x v="9"/>
  </r>
  <r>
    <x v="10"/>
  </r>
  <r>
    <x v="16"/>
  </r>
  <r>
    <x v="12"/>
  </r>
  <r>
    <x v="13"/>
  </r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0"/>
  </r>
  <r>
    <x v="1"/>
  </r>
  <r>
    <x v="2"/>
  </r>
  <r>
    <x v="3"/>
  </r>
  <r>
    <x v="16"/>
  </r>
  <r>
    <x v="5"/>
  </r>
  <r>
    <x v="6"/>
  </r>
  <r>
    <x v="7"/>
  </r>
  <r>
    <x v="8"/>
  </r>
  <r>
    <x v="9"/>
  </r>
  <r>
    <x v="10"/>
  </r>
  <r>
    <x v="11"/>
  </r>
  <r>
    <x v="12"/>
  </r>
  <r>
    <x v="20"/>
  </r>
  <r>
    <x v="20"/>
  </r>
  <r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5E1DE-1DD4-4BD0-975F-EC0F7C0E34B0}" name="PivotTable1" cacheId="5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0" outline="1" outlineData="1" rowHeaderCaption="Courses available">
  <location ref="G1:G23" firstHeaderRow="1" firstDataRow="1" firstDataCol="1"/>
  <pivotFields count="1">
    <pivotField axis="axisRow" showAll="0">
      <items count="22">
        <item x="15"/>
        <item x="7"/>
        <item x="2"/>
        <item x="4"/>
        <item x="11"/>
        <item x="1"/>
        <item x="9"/>
        <item x="0"/>
        <item x="12"/>
        <item x="16"/>
        <item x="5"/>
        <item x="13"/>
        <item x="18"/>
        <item x="19"/>
        <item x="14"/>
        <item x="6"/>
        <item x="8"/>
        <item x="3"/>
        <item x="17"/>
        <item x="10"/>
        <item x="20"/>
        <item t="default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formats count="10">
    <format dxfId="19">
      <pivotArea type="all" dataOnly="0" outline="0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field="0" type="button" dataOnly="0" labelOnly="1" outline="0" axis="axisRow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3B31E-3D54-4017-B195-7C87A648FC2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Courses">
  <location ref="L2:M23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15"/>
        <item x="7"/>
        <item x="2"/>
        <item x="4"/>
        <item x="11"/>
        <item x="1"/>
        <item x="9"/>
        <item x="0"/>
        <item x="12"/>
        <item x="16"/>
        <item x="5"/>
        <item x="13"/>
        <item x="18"/>
        <item x="19"/>
        <item x="14"/>
        <item x="6"/>
        <item x="8"/>
        <item x="3"/>
        <item x="17"/>
        <item x="10"/>
        <item t="default"/>
      </items>
    </pivotField>
    <pivotField numFmtId="6" showAll="0"/>
    <pivotField showAll="0"/>
    <pivotField showAll="0"/>
    <pivotField numFmtId="14" showAll="0"/>
    <pivotField showAll="0"/>
    <pivotField dataField="1" showAll="0"/>
  </pivotFields>
  <rowFields count="1">
    <field x="9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mount of scholarships" fld="15" baseField="0" baseItem="0"/>
  </dataFields>
  <formats count="20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9" type="button" dataOnly="0" labelOnly="1" outline="0" axis="axisRow" fieldPosition="0"/>
    </format>
    <format dxfId="36">
      <pivotArea dataOnly="0" labelOnly="1" fieldPosition="0">
        <references count="1">
          <reference field="9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field="9" type="button" dataOnly="0" labelOnly="1" outline="0" axis="axisRow" fieldPosition="0"/>
    </format>
    <format dxfId="32">
      <pivotArea dataOnly="0" labelOnly="1" outline="0" axis="axisValues" fieldPosition="0"/>
    </format>
    <format dxfId="31">
      <pivotArea collapsedLevelsAreSubtotals="1" fieldPosition="0">
        <references count="1">
          <reference field="9" count="0"/>
        </references>
      </pivotArea>
    </format>
    <format dxfId="30">
      <pivotArea dataOnly="0" labelOnly="1" fieldPosition="0">
        <references count="1">
          <reference field="9" count="0"/>
        </references>
      </pivotArea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9" type="button" dataOnly="0" labelOnly="1" outline="0" axis="axisRow" fieldPosition="0"/>
    </format>
    <format dxfId="24">
      <pivotArea dataOnly="0" labelOnly="1" fieldPosition="0">
        <references count="1">
          <reference field="9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field="9" type="button" dataOnly="0" labelOnly="1" outline="0" axis="axisRow" fieldPosition="0"/>
    </format>
    <format dxfId="20">
      <pivotArea dataOnly="0" labelOnly="1" outline="0" axis="axisValues" fieldPosition="0"/>
    </format>
  </format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F1A88-6A40-4661-8286-38FF40797F1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ourses ">
  <location ref="I2:J23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15"/>
        <item x="7"/>
        <item x="2"/>
        <item x="4"/>
        <item x="11"/>
        <item x="1"/>
        <item x="9"/>
        <item x="0"/>
        <item x="12"/>
        <item x="16"/>
        <item x="5"/>
        <item x="13"/>
        <item x="18"/>
        <item x="19"/>
        <item x="14"/>
        <item x="6"/>
        <item x="8"/>
        <item x="3"/>
        <item x="17"/>
        <item x="10"/>
        <item t="default"/>
      </items>
    </pivotField>
    <pivotField dataField="1" showAll="0"/>
    <pivotField showAll="0"/>
    <pivotField showAll="0"/>
    <pivotField numFmtId="14" showAll="0"/>
    <pivotField showAll="0"/>
    <pivotField showAll="0"/>
  </pivotFields>
  <rowFields count="1">
    <field x="9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Total Fees" fld="10" baseField="0" baseItem="0"/>
  </dataFields>
  <formats count="26">
    <format dxfId="65">
      <pivotArea type="all" dataOnly="0" outline="0" fieldPosition="0"/>
    </format>
    <format dxfId="64">
      <pivotArea field="9" type="button" dataOnly="0" labelOnly="1" outline="0" axis="axisRow" fieldPosition="0"/>
    </format>
    <format dxfId="63">
      <pivotArea dataOnly="0" labelOnly="1" fieldPosition="0">
        <references count="1">
          <reference field="9" count="0"/>
        </references>
      </pivotArea>
    </format>
    <format dxfId="62">
      <pivotArea dataOnly="0" labelOnly="1" grandRow="1" outline="0" fieldPosition="0"/>
    </format>
    <format dxfId="61">
      <pivotArea field="9" type="button" dataOnly="0" labelOnly="1" outline="0" axis="axisRow" fieldPosition="0"/>
    </format>
    <format dxfId="60">
      <pivotArea dataOnly="0" labelOnly="1" outline="0" axis="axisValues" fieldPosition="0"/>
    </format>
    <format dxfId="59">
      <pivotArea field="9" type="button" dataOnly="0" labelOnly="1" outline="0" axis="axisRow" fieldPosition="0"/>
    </format>
    <format dxfId="58">
      <pivotArea dataOnly="0" labelOnly="1" outline="0" axis="axisValues" fieldPosition="0"/>
    </format>
    <format dxfId="57">
      <pivotArea collapsedLevelsAreSubtotals="1" fieldPosition="0">
        <references count="1">
          <reference field="9" count="0"/>
        </references>
      </pivotArea>
    </format>
    <format dxfId="56">
      <pivotArea dataOnly="0" labelOnly="1" fieldPosition="0">
        <references count="1">
          <reference field="9" count="0"/>
        </references>
      </pivotArea>
    </format>
    <format dxfId="55">
      <pivotArea grandRow="1" outline="0" collapsedLevelsAreSubtotals="1" fieldPosition="0"/>
    </format>
    <format dxfId="54">
      <pivotArea dataOnly="0" labelOnly="1" grandRow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9" type="button" dataOnly="0" labelOnly="1" outline="0" axis="axisRow" fieldPosition="0"/>
    </format>
    <format dxfId="50">
      <pivotArea dataOnly="0" labelOnly="1" fieldPosition="0">
        <references count="1">
          <reference field="9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grandRow="1" outline="0" collapsedLevelsAreSubtotals="1" fieldPosition="0"/>
    </format>
    <format dxfId="46">
      <pivotArea dataOnly="0" labelOnly="1" grandRow="1" outline="0" fieldPosition="0"/>
    </format>
    <format dxfId="45">
      <pivotArea collapsedLevelsAreSubtotals="1" fieldPosition="0">
        <references count="1">
          <reference field="9" count="0"/>
        </references>
      </pivotArea>
    </format>
    <format dxfId="44">
      <pivotArea grandRow="1" outline="0" collapsedLevelsAreSubtotals="1" fieldPosition="0"/>
    </format>
    <format dxfId="43">
      <pivotArea dataOnly="0" labelOnly="1" grandRow="1" outline="0" fieldPosition="0"/>
    </format>
    <format dxfId="42">
      <pivotArea outline="0" collapsedLevelsAreSubtotals="1" fieldPosition="0"/>
    </format>
    <format dxfId="41">
      <pivotArea dataOnly="0" labelOnly="1" fieldPosition="0">
        <references count="1">
          <reference field="9" count="0"/>
        </references>
      </pivotArea>
    </format>
    <format dxfId="40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C2B0-3D21-494F-A276-D49ED100DCD9}">
  <sheetPr codeName="Sheet1">
    <tabColor rgb="FF0070C0"/>
  </sheetPr>
  <dimension ref="A1:AQ103"/>
  <sheetViews>
    <sheetView topLeftCell="D1" zoomScale="91" zoomScaleNormal="87" workbookViewId="0">
      <selection sqref="A1:A101"/>
    </sheetView>
  </sheetViews>
  <sheetFormatPr defaultRowHeight="14.4" x14ac:dyDescent="0.3"/>
  <cols>
    <col min="1" max="1" width="6.109375" style="1" bestFit="1" customWidth="1"/>
    <col min="2" max="2" width="9.5546875" style="1" bestFit="1" customWidth="1"/>
    <col min="3" max="3" width="18.77734375" style="1" bestFit="1" customWidth="1"/>
    <col min="4" max="4" width="7" style="1" bestFit="1" customWidth="1"/>
    <col min="5" max="5" width="28.21875" style="1" bestFit="1" customWidth="1"/>
    <col min="6" max="6" width="4" style="1" bestFit="1" customWidth="1"/>
    <col min="7" max="7" width="17" style="1" customWidth="1"/>
    <col min="8" max="8" width="9.6640625" style="1" bestFit="1" customWidth="1"/>
    <col min="9" max="9" width="17.77734375" style="1" customWidth="1"/>
    <col min="10" max="10" width="27.21875" style="1" bestFit="1" customWidth="1"/>
    <col min="11" max="11" width="13" style="1" customWidth="1"/>
    <col min="12" max="12" width="10.33203125" style="1" bestFit="1" customWidth="1"/>
    <col min="13" max="13" width="8.109375" style="1" bestFit="1" customWidth="1"/>
    <col min="14" max="14" width="16.21875" style="1" customWidth="1"/>
    <col min="15" max="15" width="17.5546875" style="4" customWidth="1"/>
    <col min="16" max="16" width="21.77734375" style="1" customWidth="1"/>
    <col min="17" max="17" width="14" style="1" customWidth="1"/>
    <col min="18" max="18" width="26.77734375" style="1" bestFit="1" customWidth="1"/>
    <col min="19" max="19" width="26.88671875" style="1" bestFit="1" customWidth="1"/>
    <col min="20" max="20" width="8.88671875" style="1"/>
    <col min="21" max="21" width="27.21875" style="1" bestFit="1" customWidth="1"/>
    <col min="22" max="22" width="8.88671875" style="1"/>
    <col min="23" max="23" width="30" style="1" customWidth="1"/>
    <col min="24" max="24" width="26.44140625" style="1" customWidth="1"/>
    <col min="25" max="29" width="6" style="1" bestFit="1" customWidth="1"/>
    <col min="31" max="33" width="6" style="1" bestFit="1" customWidth="1"/>
    <col min="34" max="42" width="7" style="1" bestFit="1" customWidth="1"/>
    <col min="43" max="43" width="11.21875" style="1" bestFit="1" customWidth="1"/>
    <col min="44" max="16384" width="8.88671875" style="1"/>
  </cols>
  <sheetData>
    <row r="1" spans="1:43" ht="15" thickBot="1" x14ac:dyDescent="0.35">
      <c r="A1" s="7" t="s">
        <v>1</v>
      </c>
      <c r="B1" s="8" t="s">
        <v>232</v>
      </c>
      <c r="C1" s="8" t="s">
        <v>0</v>
      </c>
      <c r="D1" s="8" t="s">
        <v>103</v>
      </c>
      <c r="E1" s="8" t="s">
        <v>106</v>
      </c>
      <c r="F1" s="8" t="s">
        <v>233</v>
      </c>
      <c r="G1" s="8" t="s">
        <v>211</v>
      </c>
      <c r="H1" s="8" t="s">
        <v>209</v>
      </c>
      <c r="I1" s="8" t="s">
        <v>250</v>
      </c>
      <c r="J1" s="8" t="s">
        <v>210</v>
      </c>
      <c r="K1" s="8" t="s">
        <v>2</v>
      </c>
      <c r="L1" s="8" t="s">
        <v>3</v>
      </c>
      <c r="M1" s="9" t="s">
        <v>4</v>
      </c>
      <c r="N1" s="15" t="s">
        <v>263</v>
      </c>
      <c r="O1" s="15" t="s">
        <v>243</v>
      </c>
      <c r="P1" s="15" t="s">
        <v>242</v>
      </c>
      <c r="T1"/>
      <c r="V1"/>
    </row>
    <row r="2" spans="1:43" x14ac:dyDescent="0.3">
      <c r="A2" s="5">
        <v>1</v>
      </c>
      <c r="B2" s="5">
        <v>1039</v>
      </c>
      <c r="C2" s="5" t="s">
        <v>5</v>
      </c>
      <c r="D2" s="5" t="s">
        <v>104</v>
      </c>
      <c r="E2" s="5" t="s">
        <v>107</v>
      </c>
      <c r="F2" s="5">
        <v>24</v>
      </c>
      <c r="G2" s="5">
        <v>48372615</v>
      </c>
      <c r="H2" s="5">
        <v>14</v>
      </c>
      <c r="I2" s="5" t="s">
        <v>251</v>
      </c>
      <c r="J2" s="5" t="s">
        <v>212</v>
      </c>
      <c r="K2" s="6">
        <v>95000</v>
      </c>
      <c r="L2" s="5">
        <v>0</v>
      </c>
      <c r="M2" s="13" t="str">
        <f>IF(L2&lt;2,"yes","no")</f>
        <v>yes</v>
      </c>
      <c r="N2" s="16">
        <v>45824</v>
      </c>
      <c r="O2" s="2" t="s">
        <v>240</v>
      </c>
      <c r="P2" s="2">
        <v>20000</v>
      </c>
      <c r="T2"/>
      <c r="V2"/>
    </row>
    <row r="3" spans="1:43" x14ac:dyDescent="0.3">
      <c r="A3" s="2">
        <v>2</v>
      </c>
      <c r="B3" s="2">
        <v>1007</v>
      </c>
      <c r="C3" s="2" t="s">
        <v>6</v>
      </c>
      <c r="D3" s="2" t="s">
        <v>104</v>
      </c>
      <c r="E3" s="2" t="s">
        <v>108</v>
      </c>
      <c r="F3" s="2">
        <v>18</v>
      </c>
      <c r="G3" s="2">
        <v>91736482</v>
      </c>
      <c r="H3" s="2">
        <v>12</v>
      </c>
      <c r="I3" s="2" t="s">
        <v>252</v>
      </c>
      <c r="J3" s="2" t="s">
        <v>213</v>
      </c>
      <c r="K3" s="3">
        <v>110000</v>
      </c>
      <c r="L3" s="2">
        <v>3</v>
      </c>
      <c r="M3" s="14" t="str">
        <f t="shared" ref="M3:M66" si="0">IF(L3&lt;2,"yes","no")</f>
        <v>no</v>
      </c>
      <c r="N3" s="16">
        <v>45824</v>
      </c>
      <c r="O3" s="2" t="s">
        <v>240</v>
      </c>
      <c r="P3" s="2">
        <v>25000</v>
      </c>
      <c r="T3"/>
      <c r="V3"/>
    </row>
    <row r="4" spans="1:43" x14ac:dyDescent="0.3">
      <c r="A4" s="2">
        <v>3</v>
      </c>
      <c r="B4" s="2">
        <v>1078</v>
      </c>
      <c r="C4" s="2" t="s">
        <v>7</v>
      </c>
      <c r="D4" s="2" t="s">
        <v>104</v>
      </c>
      <c r="E4" s="2" t="s">
        <v>109</v>
      </c>
      <c r="F4" s="2">
        <v>22</v>
      </c>
      <c r="G4" s="2">
        <v>65829174</v>
      </c>
      <c r="H4" s="2">
        <v>14</v>
      </c>
      <c r="I4" s="2" t="s">
        <v>253</v>
      </c>
      <c r="J4" s="2" t="s">
        <v>214</v>
      </c>
      <c r="K4" s="3">
        <v>85000</v>
      </c>
      <c r="L4" s="2">
        <v>3</v>
      </c>
      <c r="M4" s="14" t="str">
        <f t="shared" si="0"/>
        <v>no</v>
      </c>
      <c r="N4" s="16">
        <v>45825</v>
      </c>
      <c r="O4" s="2" t="s">
        <v>241</v>
      </c>
      <c r="P4" s="2">
        <v>0</v>
      </c>
      <c r="T4"/>
      <c r="V4"/>
    </row>
    <row r="5" spans="1:43" x14ac:dyDescent="0.3">
      <c r="A5" s="2">
        <v>4</v>
      </c>
      <c r="B5" s="2">
        <v>1070</v>
      </c>
      <c r="C5" s="2" t="s">
        <v>8</v>
      </c>
      <c r="D5" s="2" t="s">
        <v>104</v>
      </c>
      <c r="E5" s="2" t="s">
        <v>110</v>
      </c>
      <c r="F5" s="2">
        <v>21</v>
      </c>
      <c r="G5" s="2">
        <v>27491836</v>
      </c>
      <c r="H5" s="2">
        <v>14</v>
      </c>
      <c r="I5" s="2" t="s">
        <v>254</v>
      </c>
      <c r="J5" s="2" t="s">
        <v>215</v>
      </c>
      <c r="K5" s="3">
        <v>120000</v>
      </c>
      <c r="L5" s="2">
        <v>3</v>
      </c>
      <c r="M5" s="14" t="str">
        <f t="shared" si="0"/>
        <v>no</v>
      </c>
      <c r="N5" s="16">
        <v>45825</v>
      </c>
      <c r="O5" s="2" t="s">
        <v>240</v>
      </c>
      <c r="P5" s="2">
        <v>30000</v>
      </c>
      <c r="T5"/>
      <c r="V5"/>
    </row>
    <row r="6" spans="1:43" x14ac:dyDescent="0.3">
      <c r="A6" s="2">
        <v>5</v>
      </c>
      <c r="B6" s="2">
        <v>1003</v>
      </c>
      <c r="C6" s="2" t="s">
        <v>9</v>
      </c>
      <c r="D6" s="2" t="s">
        <v>104</v>
      </c>
      <c r="E6" s="2" t="s">
        <v>111</v>
      </c>
      <c r="F6" s="2">
        <v>20</v>
      </c>
      <c r="G6" s="2">
        <v>80573641</v>
      </c>
      <c r="H6" s="2">
        <v>13</v>
      </c>
      <c r="I6" s="2" t="s">
        <v>255</v>
      </c>
      <c r="J6" s="2" t="s">
        <v>216</v>
      </c>
      <c r="K6" s="3">
        <v>115000</v>
      </c>
      <c r="L6" s="2">
        <v>3</v>
      </c>
      <c r="M6" s="14" t="str">
        <f t="shared" si="0"/>
        <v>no</v>
      </c>
      <c r="N6" s="16">
        <v>45826</v>
      </c>
      <c r="O6" s="2" t="s">
        <v>241</v>
      </c>
      <c r="P6" s="2">
        <v>0</v>
      </c>
      <c r="T6"/>
      <c r="V6"/>
    </row>
    <row r="7" spans="1:43" x14ac:dyDescent="0.3">
      <c r="A7" s="2">
        <v>6</v>
      </c>
      <c r="B7" s="2">
        <v>1043</v>
      </c>
      <c r="C7" s="2" t="s">
        <v>10</v>
      </c>
      <c r="D7" s="2" t="s">
        <v>104</v>
      </c>
      <c r="E7" s="2" t="s">
        <v>112</v>
      </c>
      <c r="F7" s="2">
        <v>20</v>
      </c>
      <c r="G7" s="2">
        <v>19384756</v>
      </c>
      <c r="H7" s="2">
        <v>11</v>
      </c>
      <c r="I7" s="2" t="s">
        <v>256</v>
      </c>
      <c r="J7" s="2" t="s">
        <v>217</v>
      </c>
      <c r="K7" s="3">
        <v>118000</v>
      </c>
      <c r="L7" s="2">
        <v>2</v>
      </c>
      <c r="M7" s="14" t="str">
        <f t="shared" si="0"/>
        <v>no</v>
      </c>
      <c r="N7" s="16">
        <v>45826</v>
      </c>
      <c r="O7" s="2" t="s">
        <v>240</v>
      </c>
      <c r="P7" s="2">
        <v>25000</v>
      </c>
      <c r="T7"/>
      <c r="V7"/>
      <c r="Y7"/>
      <c r="Z7"/>
      <c r="AB7"/>
      <c r="AC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x14ac:dyDescent="0.3">
      <c r="A8" s="2">
        <v>7</v>
      </c>
      <c r="B8" s="2">
        <v>1093</v>
      </c>
      <c r="C8" s="2" t="s">
        <v>11</v>
      </c>
      <c r="D8" s="2" t="s">
        <v>104</v>
      </c>
      <c r="E8" s="2" t="s">
        <v>113</v>
      </c>
      <c r="F8" s="2">
        <v>23</v>
      </c>
      <c r="G8" s="2">
        <v>74628195</v>
      </c>
      <c r="H8" s="2">
        <v>12</v>
      </c>
      <c r="I8" s="2" t="s">
        <v>257</v>
      </c>
      <c r="J8" s="2" t="s">
        <v>218</v>
      </c>
      <c r="K8" s="3">
        <v>105000</v>
      </c>
      <c r="L8" s="2">
        <v>3</v>
      </c>
      <c r="M8" s="14" t="str">
        <f t="shared" si="0"/>
        <v>no</v>
      </c>
      <c r="N8" s="16">
        <v>45826</v>
      </c>
      <c r="O8" s="2" t="s">
        <v>240</v>
      </c>
      <c r="P8" s="2">
        <v>20000</v>
      </c>
      <c r="T8"/>
      <c r="V8"/>
      <c r="Y8"/>
      <c r="Z8"/>
      <c r="AB8"/>
      <c r="AC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x14ac:dyDescent="0.3">
      <c r="A9" s="2">
        <v>8</v>
      </c>
      <c r="B9" s="2">
        <v>1022</v>
      </c>
      <c r="C9" s="2" t="s">
        <v>12</v>
      </c>
      <c r="D9" s="2" t="s">
        <v>104</v>
      </c>
      <c r="E9" s="2" t="s">
        <v>114</v>
      </c>
      <c r="F9" s="2">
        <v>25</v>
      </c>
      <c r="G9" s="2">
        <v>52837461</v>
      </c>
      <c r="H9" s="2">
        <v>12</v>
      </c>
      <c r="I9" s="2" t="s">
        <v>258</v>
      </c>
      <c r="J9" s="2" t="s">
        <v>219</v>
      </c>
      <c r="K9" s="3">
        <v>130000</v>
      </c>
      <c r="L9" s="2">
        <v>3</v>
      </c>
      <c r="M9" s="14" t="str">
        <f t="shared" si="0"/>
        <v>no</v>
      </c>
      <c r="N9" s="16">
        <v>45827</v>
      </c>
      <c r="O9" s="2" t="s">
        <v>240</v>
      </c>
      <c r="P9" s="2">
        <v>35000</v>
      </c>
      <c r="T9"/>
      <c r="V9"/>
      <c r="Y9"/>
      <c r="Z9"/>
      <c r="AB9"/>
      <c r="AC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x14ac:dyDescent="0.3">
      <c r="A10" s="2">
        <v>9</v>
      </c>
      <c r="B10" s="2">
        <v>1009</v>
      </c>
      <c r="C10" s="2" t="s">
        <v>13</v>
      </c>
      <c r="D10" s="2" t="s">
        <v>104</v>
      </c>
      <c r="E10" s="2" t="s">
        <v>115</v>
      </c>
      <c r="F10" s="2">
        <v>19</v>
      </c>
      <c r="G10" s="2">
        <v>86421937</v>
      </c>
      <c r="H10" s="2">
        <v>14</v>
      </c>
      <c r="I10" s="2" t="s">
        <v>259</v>
      </c>
      <c r="J10" s="2" t="s">
        <v>220</v>
      </c>
      <c r="K10" s="3">
        <v>135000</v>
      </c>
      <c r="L10" s="2">
        <v>3</v>
      </c>
      <c r="M10" s="14" t="str">
        <f t="shared" si="0"/>
        <v>no</v>
      </c>
      <c r="N10" s="16">
        <v>45827</v>
      </c>
      <c r="O10" s="2" t="s">
        <v>240</v>
      </c>
      <c r="P10" s="2">
        <v>35000</v>
      </c>
      <c r="T10"/>
      <c r="V10"/>
      <c r="Y10"/>
      <c r="Z10"/>
      <c r="AB10"/>
      <c r="AC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x14ac:dyDescent="0.3">
      <c r="A11" s="2">
        <v>10</v>
      </c>
      <c r="B11" s="2">
        <v>1064</v>
      </c>
      <c r="C11" s="2" t="s">
        <v>14</v>
      </c>
      <c r="D11" s="2" t="s">
        <v>104</v>
      </c>
      <c r="E11" s="2" t="s">
        <v>116</v>
      </c>
      <c r="F11" s="2">
        <v>20</v>
      </c>
      <c r="G11" s="2">
        <v>31578264</v>
      </c>
      <c r="H11" s="2">
        <v>11</v>
      </c>
      <c r="I11" s="2" t="s">
        <v>260</v>
      </c>
      <c r="J11" s="2" t="s">
        <v>221</v>
      </c>
      <c r="K11" s="3">
        <v>125000</v>
      </c>
      <c r="L11" s="2">
        <v>2</v>
      </c>
      <c r="M11" s="14" t="str">
        <f t="shared" si="0"/>
        <v>no</v>
      </c>
      <c r="N11" s="16">
        <v>45828</v>
      </c>
      <c r="O11" s="2" t="s">
        <v>240</v>
      </c>
      <c r="P11" s="2">
        <v>30000</v>
      </c>
      <c r="T11"/>
      <c r="V11"/>
      <c r="Y11"/>
      <c r="Z11"/>
      <c r="AB11"/>
      <c r="AC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x14ac:dyDescent="0.3">
      <c r="A12" s="2">
        <v>11</v>
      </c>
      <c r="B12" s="2">
        <v>1094</v>
      </c>
      <c r="C12" s="2" t="s">
        <v>15</v>
      </c>
      <c r="D12" s="2" t="s">
        <v>105</v>
      </c>
      <c r="E12" s="2" t="s">
        <v>117</v>
      </c>
      <c r="F12" s="2">
        <v>18</v>
      </c>
      <c r="G12" s="2">
        <v>90746381</v>
      </c>
      <c r="H12" s="2">
        <v>12</v>
      </c>
      <c r="I12" s="2" t="s">
        <v>251</v>
      </c>
      <c r="J12" s="2" t="s">
        <v>229</v>
      </c>
      <c r="K12" s="3">
        <v>115000</v>
      </c>
      <c r="L12" s="2">
        <v>3</v>
      </c>
      <c r="M12" s="14" t="str">
        <f t="shared" si="0"/>
        <v>no</v>
      </c>
      <c r="N12" s="16">
        <v>45828</v>
      </c>
      <c r="O12" s="2" t="s">
        <v>240</v>
      </c>
      <c r="P12" s="2">
        <v>25000</v>
      </c>
      <c r="T12"/>
      <c r="V12"/>
      <c r="Y12"/>
      <c r="Z12"/>
      <c r="AB12"/>
      <c r="AC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x14ac:dyDescent="0.3">
      <c r="A13" s="2">
        <v>12</v>
      </c>
      <c r="B13" s="2">
        <v>1081</v>
      </c>
      <c r="C13" s="2" t="s">
        <v>16</v>
      </c>
      <c r="D13" s="2" t="s">
        <v>105</v>
      </c>
      <c r="E13" s="2" t="s">
        <v>118</v>
      </c>
      <c r="F13" s="2">
        <v>21</v>
      </c>
      <c r="G13" s="2">
        <v>48192635</v>
      </c>
      <c r="H13" s="2">
        <v>14</v>
      </c>
      <c r="I13" s="2" t="s">
        <v>252</v>
      </c>
      <c r="J13" s="2" t="s">
        <v>230</v>
      </c>
      <c r="K13" s="3">
        <v>120000</v>
      </c>
      <c r="L13" s="2">
        <v>3</v>
      </c>
      <c r="M13" s="14" t="str">
        <f t="shared" si="0"/>
        <v>no</v>
      </c>
      <c r="N13" s="16">
        <v>45828</v>
      </c>
      <c r="O13" s="2" t="s">
        <v>240</v>
      </c>
      <c r="P13" s="2">
        <v>20000</v>
      </c>
      <c r="T13"/>
      <c r="V13"/>
      <c r="Y13"/>
      <c r="Z13"/>
      <c r="AB13"/>
      <c r="AC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x14ac:dyDescent="0.3">
      <c r="A14" s="2">
        <v>13</v>
      </c>
      <c r="B14" s="2">
        <v>1023</v>
      </c>
      <c r="C14" s="2" t="s">
        <v>17</v>
      </c>
      <c r="D14" s="2" t="s">
        <v>105</v>
      </c>
      <c r="E14" s="2" t="s">
        <v>119</v>
      </c>
      <c r="F14" s="2">
        <v>19</v>
      </c>
      <c r="G14" s="2">
        <v>76251849</v>
      </c>
      <c r="H14" s="2">
        <v>11</v>
      </c>
      <c r="I14" s="2" t="s">
        <v>253</v>
      </c>
      <c r="J14" s="2" t="s">
        <v>222</v>
      </c>
      <c r="K14" s="3">
        <v>80000</v>
      </c>
      <c r="L14" s="2">
        <v>3</v>
      </c>
      <c r="M14" s="14" t="str">
        <f t="shared" si="0"/>
        <v>no</v>
      </c>
      <c r="N14" s="16">
        <v>45829</v>
      </c>
      <c r="O14" s="2" t="s">
        <v>241</v>
      </c>
      <c r="P14" s="2">
        <v>0</v>
      </c>
      <c r="T14"/>
      <c r="V14"/>
      <c r="Y14"/>
      <c r="Z14"/>
      <c r="AB14"/>
      <c r="AC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x14ac:dyDescent="0.3">
      <c r="A15" s="2">
        <v>14</v>
      </c>
      <c r="B15" s="2">
        <v>1021</v>
      </c>
      <c r="C15" s="2" t="s">
        <v>18</v>
      </c>
      <c r="D15" s="2" t="s">
        <v>105</v>
      </c>
      <c r="E15" s="2" t="s">
        <v>120</v>
      </c>
      <c r="F15" s="2">
        <v>24</v>
      </c>
      <c r="G15" s="2">
        <v>23984716</v>
      </c>
      <c r="H15" s="2">
        <v>15</v>
      </c>
      <c r="I15" s="2" t="s">
        <v>254</v>
      </c>
      <c r="J15" s="2" t="s">
        <v>223</v>
      </c>
      <c r="K15" s="3">
        <v>90000</v>
      </c>
      <c r="L15" s="2">
        <v>2</v>
      </c>
      <c r="M15" s="14" t="str">
        <f t="shared" si="0"/>
        <v>no</v>
      </c>
      <c r="N15" s="16">
        <v>45829</v>
      </c>
      <c r="O15" s="2" t="s">
        <v>241</v>
      </c>
      <c r="P15" s="2">
        <v>0</v>
      </c>
      <c r="T15"/>
      <c r="V15"/>
      <c r="Y15"/>
      <c r="Z15"/>
      <c r="AB15"/>
      <c r="AC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x14ac:dyDescent="0.3">
      <c r="A16" s="2">
        <v>15</v>
      </c>
      <c r="B16" s="2">
        <v>1092</v>
      </c>
      <c r="C16" s="2" t="s">
        <v>19</v>
      </c>
      <c r="D16" s="2" t="s">
        <v>105</v>
      </c>
      <c r="E16" s="2" t="s">
        <v>121</v>
      </c>
      <c r="F16" s="2">
        <v>23</v>
      </c>
      <c r="G16" s="2">
        <v>68419375</v>
      </c>
      <c r="H16" s="2">
        <v>15</v>
      </c>
      <c r="I16" s="2" t="s">
        <v>255</v>
      </c>
      <c r="J16" s="2" t="s">
        <v>224</v>
      </c>
      <c r="K16" s="3">
        <v>82000</v>
      </c>
      <c r="L16" s="2">
        <v>3</v>
      </c>
      <c r="M16" s="14" t="str">
        <f t="shared" si="0"/>
        <v>no</v>
      </c>
      <c r="N16" s="16">
        <v>45830</v>
      </c>
      <c r="O16" s="2" t="s">
        <v>240</v>
      </c>
      <c r="P16" s="2">
        <v>15000</v>
      </c>
      <c r="T16"/>
      <c r="V16"/>
      <c r="Y16"/>
      <c r="Z16"/>
      <c r="AB16"/>
      <c r="AC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x14ac:dyDescent="0.3">
      <c r="A17" s="2">
        <v>16</v>
      </c>
      <c r="B17" s="2">
        <v>1018</v>
      </c>
      <c r="C17" s="2" t="s">
        <v>20</v>
      </c>
      <c r="D17" s="2" t="s">
        <v>105</v>
      </c>
      <c r="E17" s="2" t="s">
        <v>122</v>
      </c>
      <c r="F17" s="2">
        <v>23</v>
      </c>
      <c r="G17" s="2">
        <v>51827493</v>
      </c>
      <c r="H17" s="2">
        <v>15</v>
      </c>
      <c r="I17" s="2" t="s">
        <v>258</v>
      </c>
      <c r="J17" s="2" t="s">
        <v>225</v>
      </c>
      <c r="K17" s="3">
        <v>75000</v>
      </c>
      <c r="L17" s="2">
        <v>3</v>
      </c>
      <c r="M17" s="14" t="str">
        <f t="shared" si="0"/>
        <v>no</v>
      </c>
      <c r="N17" s="16">
        <v>45830</v>
      </c>
      <c r="O17" s="2" t="s">
        <v>241</v>
      </c>
      <c r="P17" s="2">
        <v>0</v>
      </c>
      <c r="T17"/>
      <c r="V17"/>
      <c r="Y17"/>
      <c r="Z17"/>
      <c r="AB17"/>
      <c r="AC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x14ac:dyDescent="0.3">
      <c r="A18" s="2">
        <v>17</v>
      </c>
      <c r="B18" s="2">
        <v>1048</v>
      </c>
      <c r="C18" s="2" t="s">
        <v>21</v>
      </c>
      <c r="D18" s="2" t="s">
        <v>105</v>
      </c>
      <c r="E18" s="2" t="s">
        <v>123</v>
      </c>
      <c r="F18" s="2">
        <v>25</v>
      </c>
      <c r="G18" s="2">
        <v>97163528</v>
      </c>
      <c r="H18" s="2">
        <v>11</v>
      </c>
      <c r="I18" s="2" t="s">
        <v>257</v>
      </c>
      <c r="J18" s="2" t="s">
        <v>226</v>
      </c>
      <c r="K18" s="3">
        <v>70000</v>
      </c>
      <c r="L18" s="2">
        <v>2</v>
      </c>
      <c r="M18" s="14" t="str">
        <f t="shared" si="0"/>
        <v>no</v>
      </c>
      <c r="N18" s="16">
        <v>45831</v>
      </c>
      <c r="O18" s="2" t="s">
        <v>240</v>
      </c>
      <c r="P18" s="2">
        <v>15000</v>
      </c>
      <c r="T18"/>
      <c r="V18"/>
      <c r="Y18"/>
      <c r="Z18"/>
      <c r="AB18"/>
      <c r="AC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x14ac:dyDescent="0.3">
      <c r="A19" s="2">
        <v>18</v>
      </c>
      <c r="B19" s="2">
        <v>1100</v>
      </c>
      <c r="C19" s="2" t="s">
        <v>22</v>
      </c>
      <c r="D19" s="2" t="s">
        <v>105</v>
      </c>
      <c r="E19" s="2" t="s">
        <v>124</v>
      </c>
      <c r="F19" s="2">
        <v>24</v>
      </c>
      <c r="G19" s="2">
        <v>34679182</v>
      </c>
      <c r="H19" s="2">
        <v>13</v>
      </c>
      <c r="I19" s="2" t="s">
        <v>256</v>
      </c>
      <c r="J19" s="2" t="s">
        <v>227</v>
      </c>
      <c r="K19" s="3">
        <v>78000</v>
      </c>
      <c r="L19" s="2">
        <v>3</v>
      </c>
      <c r="M19" s="14" t="str">
        <f t="shared" si="0"/>
        <v>no</v>
      </c>
      <c r="N19" s="16">
        <v>45831</v>
      </c>
      <c r="O19" s="2" t="s">
        <v>240</v>
      </c>
      <c r="P19" s="2">
        <v>18000</v>
      </c>
      <c r="Y19"/>
      <c r="Z19"/>
      <c r="AB19"/>
      <c r="AC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x14ac:dyDescent="0.3">
      <c r="A20" s="2">
        <v>19</v>
      </c>
      <c r="B20" s="2">
        <v>1095</v>
      </c>
      <c r="C20" s="2" t="s">
        <v>23</v>
      </c>
      <c r="D20" s="2" t="s">
        <v>105</v>
      </c>
      <c r="E20" s="2" t="s">
        <v>125</v>
      </c>
      <c r="F20" s="2">
        <v>22</v>
      </c>
      <c r="G20" s="2">
        <v>82541769</v>
      </c>
      <c r="H20" s="2">
        <v>12</v>
      </c>
      <c r="I20" s="2" t="s">
        <v>259</v>
      </c>
      <c r="J20" s="2" t="s">
        <v>228</v>
      </c>
      <c r="K20" s="3">
        <v>88000</v>
      </c>
      <c r="L20" s="2">
        <v>3</v>
      </c>
      <c r="M20" s="14" t="str">
        <f t="shared" si="0"/>
        <v>no</v>
      </c>
      <c r="N20" s="16">
        <v>45832</v>
      </c>
      <c r="O20" s="2" t="s">
        <v>241</v>
      </c>
      <c r="P20" s="2">
        <v>0</v>
      </c>
      <c r="Y20"/>
      <c r="Z20"/>
      <c r="AB20"/>
      <c r="AC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x14ac:dyDescent="0.3">
      <c r="A21" s="2">
        <v>20</v>
      </c>
      <c r="B21" s="2">
        <v>1052</v>
      </c>
      <c r="C21" s="2" t="s">
        <v>24</v>
      </c>
      <c r="D21" s="2" t="s">
        <v>105</v>
      </c>
      <c r="E21" s="2" t="s">
        <v>126</v>
      </c>
      <c r="F21" s="2">
        <v>19</v>
      </c>
      <c r="G21" s="2">
        <v>15493827</v>
      </c>
      <c r="H21" s="2">
        <v>12</v>
      </c>
      <c r="I21" s="2" t="s">
        <v>260</v>
      </c>
      <c r="J21" s="2" t="s">
        <v>231</v>
      </c>
      <c r="K21" s="3">
        <v>98000</v>
      </c>
      <c r="L21" s="2">
        <v>3</v>
      </c>
      <c r="M21" s="14" t="str">
        <f t="shared" si="0"/>
        <v>no</v>
      </c>
      <c r="N21" s="16">
        <v>45832</v>
      </c>
      <c r="O21" s="2" t="s">
        <v>240</v>
      </c>
      <c r="P21" s="2">
        <v>20000</v>
      </c>
      <c r="Y21"/>
      <c r="Z21"/>
      <c r="AB21"/>
      <c r="AC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x14ac:dyDescent="0.3">
      <c r="A22" s="2">
        <v>21</v>
      </c>
      <c r="B22" s="2">
        <v>1004</v>
      </c>
      <c r="C22" s="2" t="s">
        <v>25</v>
      </c>
      <c r="D22" s="2" t="s">
        <v>104</v>
      </c>
      <c r="E22" s="2" t="s">
        <v>127</v>
      </c>
      <c r="F22" s="2">
        <v>21</v>
      </c>
      <c r="G22" s="2">
        <v>69387154</v>
      </c>
      <c r="H22" s="2">
        <v>11</v>
      </c>
      <c r="I22" s="2" t="s">
        <v>251</v>
      </c>
      <c r="J22" s="2" t="s">
        <v>219</v>
      </c>
      <c r="K22" s="3">
        <v>130000</v>
      </c>
      <c r="L22" s="2">
        <v>2</v>
      </c>
      <c r="M22" s="14" t="str">
        <f t="shared" si="0"/>
        <v>no</v>
      </c>
      <c r="N22" s="16">
        <v>45833</v>
      </c>
      <c r="O22" s="2" t="s">
        <v>240</v>
      </c>
      <c r="P22" s="2">
        <v>35000</v>
      </c>
      <c r="Y22"/>
      <c r="Z22"/>
      <c r="AB22"/>
      <c r="AC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x14ac:dyDescent="0.3">
      <c r="A23" s="2">
        <v>22</v>
      </c>
      <c r="B23" s="2">
        <v>1047</v>
      </c>
      <c r="C23" s="2" t="s">
        <v>26</v>
      </c>
      <c r="D23" s="2" t="s">
        <v>104</v>
      </c>
      <c r="E23" s="2" t="s">
        <v>128</v>
      </c>
      <c r="F23" s="2">
        <v>24</v>
      </c>
      <c r="G23" s="2">
        <v>28741639</v>
      </c>
      <c r="H23" s="2">
        <v>14</v>
      </c>
      <c r="I23" s="2" t="s">
        <v>252</v>
      </c>
      <c r="J23" s="2" t="s">
        <v>220</v>
      </c>
      <c r="K23" s="3">
        <v>135000</v>
      </c>
      <c r="L23" s="2">
        <v>3</v>
      </c>
      <c r="M23" s="14" t="str">
        <f t="shared" si="0"/>
        <v>no</v>
      </c>
      <c r="N23" s="16">
        <v>45833</v>
      </c>
      <c r="O23" s="2" t="s">
        <v>240</v>
      </c>
      <c r="P23" s="2">
        <v>35000</v>
      </c>
      <c r="Y23"/>
      <c r="Z23"/>
      <c r="AB23"/>
      <c r="AC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x14ac:dyDescent="0.3">
      <c r="A24" s="2">
        <v>23</v>
      </c>
      <c r="B24" s="2">
        <v>1091</v>
      </c>
      <c r="C24" s="2" t="s">
        <v>27</v>
      </c>
      <c r="D24" s="2" t="s">
        <v>104</v>
      </c>
      <c r="E24" s="2" t="s">
        <v>129</v>
      </c>
      <c r="F24" s="2">
        <v>23</v>
      </c>
      <c r="G24" s="2">
        <v>54198276</v>
      </c>
      <c r="H24" s="2">
        <v>12</v>
      </c>
      <c r="I24" s="2" t="s">
        <v>253</v>
      </c>
      <c r="J24" s="2" t="s">
        <v>221</v>
      </c>
      <c r="K24" s="3">
        <v>125000</v>
      </c>
      <c r="L24" s="2">
        <v>2</v>
      </c>
      <c r="M24" s="14" t="str">
        <f t="shared" si="0"/>
        <v>no</v>
      </c>
      <c r="N24" s="16">
        <v>45834</v>
      </c>
      <c r="O24" s="2" t="s">
        <v>240</v>
      </c>
      <c r="P24" s="2">
        <v>30000</v>
      </c>
      <c r="X24"/>
      <c r="Y24"/>
      <c r="Z24"/>
      <c r="AA24"/>
      <c r="AB24"/>
      <c r="AC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x14ac:dyDescent="0.3">
      <c r="A25" s="2">
        <v>24</v>
      </c>
      <c r="B25" s="2">
        <v>1005</v>
      </c>
      <c r="C25" s="2" t="s">
        <v>28</v>
      </c>
      <c r="D25" s="2" t="s">
        <v>104</v>
      </c>
      <c r="E25" s="2" t="s">
        <v>130</v>
      </c>
      <c r="F25" s="2">
        <v>20</v>
      </c>
      <c r="G25" s="2">
        <v>83961742</v>
      </c>
      <c r="H25" s="2">
        <v>13</v>
      </c>
      <c r="I25" s="2" t="s">
        <v>255</v>
      </c>
      <c r="J25" s="2" t="s">
        <v>229</v>
      </c>
      <c r="K25" s="3">
        <v>115000</v>
      </c>
      <c r="L25" s="2">
        <v>2</v>
      </c>
      <c r="M25" s="14" t="str">
        <f t="shared" si="0"/>
        <v>no</v>
      </c>
      <c r="N25" s="16">
        <v>45834</v>
      </c>
      <c r="O25" s="2" t="s">
        <v>240</v>
      </c>
      <c r="P25" s="2">
        <v>25000</v>
      </c>
      <c r="X25"/>
      <c r="Y25"/>
      <c r="Z25"/>
      <c r="AA25"/>
      <c r="AB25"/>
      <c r="AC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x14ac:dyDescent="0.3">
      <c r="A26" s="2">
        <v>25</v>
      </c>
      <c r="B26" s="2">
        <v>1025</v>
      </c>
      <c r="C26" s="2" t="s">
        <v>29</v>
      </c>
      <c r="D26" s="2" t="s">
        <v>104</v>
      </c>
      <c r="E26" s="2" t="s">
        <v>131</v>
      </c>
      <c r="F26" s="2">
        <v>18</v>
      </c>
      <c r="G26" s="2">
        <v>17258493</v>
      </c>
      <c r="H26" s="2">
        <v>12</v>
      </c>
      <c r="I26" s="2" t="s">
        <v>254</v>
      </c>
      <c r="J26" s="2" t="s">
        <v>219</v>
      </c>
      <c r="K26" s="3">
        <v>130000</v>
      </c>
      <c r="L26" s="2">
        <v>3</v>
      </c>
      <c r="M26" s="14" t="str">
        <f t="shared" si="0"/>
        <v>no</v>
      </c>
      <c r="N26" s="16">
        <v>45835</v>
      </c>
      <c r="O26" s="2" t="s">
        <v>240</v>
      </c>
      <c r="P26" s="2">
        <v>35000</v>
      </c>
      <c r="X26"/>
      <c r="Y26"/>
      <c r="Z26"/>
      <c r="AA26"/>
      <c r="AB26"/>
      <c r="AC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x14ac:dyDescent="0.3">
      <c r="A27" s="2">
        <v>26</v>
      </c>
      <c r="B27" s="2">
        <v>1040</v>
      </c>
      <c r="C27" s="2" t="s">
        <v>30</v>
      </c>
      <c r="D27" s="2" t="s">
        <v>104</v>
      </c>
      <c r="E27" s="2" t="s">
        <v>132</v>
      </c>
      <c r="F27" s="2">
        <v>18</v>
      </c>
      <c r="G27" s="2">
        <v>46829175</v>
      </c>
      <c r="H27" s="2">
        <v>12</v>
      </c>
      <c r="I27" s="2" t="s">
        <v>257</v>
      </c>
      <c r="J27" s="2" t="s">
        <v>220</v>
      </c>
      <c r="K27" s="3">
        <v>135000</v>
      </c>
      <c r="L27" s="2">
        <v>2</v>
      </c>
      <c r="M27" s="14" t="str">
        <f t="shared" si="0"/>
        <v>no</v>
      </c>
      <c r="N27" s="16">
        <v>45835</v>
      </c>
      <c r="O27" s="2" t="s">
        <v>240</v>
      </c>
      <c r="P27" s="2">
        <v>35000</v>
      </c>
      <c r="X27"/>
      <c r="Y27"/>
      <c r="Z27"/>
      <c r="AA27"/>
      <c r="AB27"/>
      <c r="AC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x14ac:dyDescent="0.3">
      <c r="A28" s="2">
        <v>27</v>
      </c>
      <c r="B28" s="2">
        <v>1060</v>
      </c>
      <c r="C28" s="2" t="s">
        <v>31</v>
      </c>
      <c r="D28" s="2" t="s">
        <v>104</v>
      </c>
      <c r="E28" s="2" t="s">
        <v>133</v>
      </c>
      <c r="F28" s="2">
        <v>21</v>
      </c>
      <c r="G28" s="2">
        <v>92573814</v>
      </c>
      <c r="H28" s="2">
        <v>11</v>
      </c>
      <c r="I28" s="2" t="s">
        <v>258</v>
      </c>
      <c r="J28" s="2" t="s">
        <v>221</v>
      </c>
      <c r="K28" s="3">
        <v>125000</v>
      </c>
      <c r="L28" s="2">
        <v>3</v>
      </c>
      <c r="M28" s="14" t="str">
        <f t="shared" si="0"/>
        <v>no</v>
      </c>
      <c r="N28" s="16">
        <v>45836</v>
      </c>
      <c r="O28" s="2" t="s">
        <v>240</v>
      </c>
      <c r="P28" s="2">
        <v>30000</v>
      </c>
      <c r="X28"/>
      <c r="Y28"/>
      <c r="Z28"/>
      <c r="AA28"/>
      <c r="AB28"/>
      <c r="AC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x14ac:dyDescent="0.3">
      <c r="A29" s="2">
        <v>28</v>
      </c>
      <c r="B29" s="2">
        <v>1096</v>
      </c>
      <c r="C29" s="2" t="s">
        <v>32</v>
      </c>
      <c r="D29" s="2" t="s">
        <v>104</v>
      </c>
      <c r="E29" s="2" t="s">
        <v>134</v>
      </c>
      <c r="F29" s="2">
        <v>22</v>
      </c>
      <c r="G29" s="2">
        <v>31746982</v>
      </c>
      <c r="H29" s="2">
        <v>14</v>
      </c>
      <c r="I29" s="2" t="s">
        <v>259</v>
      </c>
      <c r="J29" s="2" t="s">
        <v>219</v>
      </c>
      <c r="K29" s="3">
        <v>130000</v>
      </c>
      <c r="L29" s="2">
        <v>2</v>
      </c>
      <c r="M29" s="14" t="str">
        <f t="shared" si="0"/>
        <v>no</v>
      </c>
      <c r="N29" s="16">
        <v>45836</v>
      </c>
      <c r="O29" s="2" t="s">
        <v>240</v>
      </c>
      <c r="P29" s="2">
        <v>35000</v>
      </c>
      <c r="X29"/>
      <c r="Y29"/>
      <c r="Z29"/>
      <c r="AA29"/>
      <c r="AB29"/>
      <c r="AC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x14ac:dyDescent="0.3">
      <c r="A30" s="2">
        <v>29</v>
      </c>
      <c r="B30" s="2">
        <v>1056</v>
      </c>
      <c r="C30" s="2" t="s">
        <v>33</v>
      </c>
      <c r="D30" s="2" t="s">
        <v>104</v>
      </c>
      <c r="E30" s="2" t="s">
        <v>135</v>
      </c>
      <c r="F30" s="2">
        <v>22</v>
      </c>
      <c r="G30" s="2">
        <v>75618439</v>
      </c>
      <c r="H30" s="2">
        <v>14</v>
      </c>
      <c r="I30" s="2" t="s">
        <v>256</v>
      </c>
      <c r="J30" s="2" t="s">
        <v>220</v>
      </c>
      <c r="K30" s="3">
        <v>135000</v>
      </c>
      <c r="L30" s="2">
        <v>2</v>
      </c>
      <c r="M30" s="14" t="str">
        <f t="shared" si="0"/>
        <v>no</v>
      </c>
      <c r="N30" s="16">
        <v>45838</v>
      </c>
      <c r="O30" s="2" t="s">
        <v>240</v>
      </c>
      <c r="P30" s="2">
        <v>35000</v>
      </c>
      <c r="X30"/>
      <c r="Y30"/>
      <c r="Z30"/>
      <c r="AA30"/>
      <c r="AB30"/>
      <c r="AC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x14ac:dyDescent="0.3">
      <c r="A31" s="2">
        <v>30</v>
      </c>
      <c r="B31" s="2">
        <v>1053</v>
      </c>
      <c r="C31" s="2" t="s">
        <v>34</v>
      </c>
      <c r="D31" s="2" t="s">
        <v>104</v>
      </c>
      <c r="E31" s="2" t="s">
        <v>136</v>
      </c>
      <c r="F31" s="2">
        <v>23</v>
      </c>
      <c r="G31" s="2">
        <v>28493761</v>
      </c>
      <c r="H31" s="2">
        <v>13</v>
      </c>
      <c r="I31" s="2" t="s">
        <v>260</v>
      </c>
      <c r="J31" s="2" t="s">
        <v>221</v>
      </c>
      <c r="K31" s="3">
        <v>125000</v>
      </c>
      <c r="L31" s="2">
        <v>3</v>
      </c>
      <c r="M31" s="14" t="str">
        <f t="shared" si="0"/>
        <v>no</v>
      </c>
      <c r="N31" s="16">
        <v>45838</v>
      </c>
      <c r="O31" s="2" t="s">
        <v>240</v>
      </c>
      <c r="P31" s="2">
        <v>30000</v>
      </c>
    </row>
    <row r="32" spans="1:43" x14ac:dyDescent="0.3">
      <c r="A32" s="2">
        <v>31</v>
      </c>
      <c r="B32" s="2">
        <v>1062</v>
      </c>
      <c r="C32" s="2" t="s">
        <v>35</v>
      </c>
      <c r="D32" s="2" t="s">
        <v>104</v>
      </c>
      <c r="E32" s="2" t="s">
        <v>137</v>
      </c>
      <c r="F32" s="2">
        <v>21</v>
      </c>
      <c r="G32" s="2">
        <v>69172584</v>
      </c>
      <c r="H32" s="2">
        <v>11</v>
      </c>
      <c r="I32" s="2" t="s">
        <v>252</v>
      </c>
      <c r="J32" s="2" t="s">
        <v>229</v>
      </c>
      <c r="K32" s="3">
        <v>115000</v>
      </c>
      <c r="L32" s="2">
        <v>0</v>
      </c>
      <c r="M32" s="14" t="str">
        <f t="shared" si="0"/>
        <v>yes</v>
      </c>
      <c r="N32" s="16">
        <v>45839</v>
      </c>
      <c r="O32" s="2" t="s">
        <v>240</v>
      </c>
      <c r="P32" s="2">
        <v>25000</v>
      </c>
    </row>
    <row r="33" spans="1:23" x14ac:dyDescent="0.3">
      <c r="A33" s="2">
        <v>32</v>
      </c>
      <c r="B33" s="2">
        <v>1084</v>
      </c>
      <c r="C33" s="2" t="s">
        <v>36</v>
      </c>
      <c r="D33" s="2" t="s">
        <v>104</v>
      </c>
      <c r="E33" s="2" t="s">
        <v>138</v>
      </c>
      <c r="F33" s="2">
        <v>23</v>
      </c>
      <c r="G33" s="2">
        <v>43896127</v>
      </c>
      <c r="H33" s="2">
        <v>14</v>
      </c>
      <c r="I33" s="2" t="s">
        <v>251</v>
      </c>
      <c r="J33" s="2" t="s">
        <v>219</v>
      </c>
      <c r="K33" s="3">
        <v>130000</v>
      </c>
      <c r="L33" s="2">
        <v>3</v>
      </c>
      <c r="M33" s="14" t="str">
        <f t="shared" si="0"/>
        <v>no</v>
      </c>
      <c r="N33" s="16">
        <v>45839</v>
      </c>
      <c r="O33" s="2" t="s">
        <v>240</v>
      </c>
      <c r="P33" s="2">
        <v>35000</v>
      </c>
    </row>
    <row r="34" spans="1:23" x14ac:dyDescent="0.3">
      <c r="A34" s="2">
        <v>33</v>
      </c>
      <c r="B34" s="2">
        <v>1073</v>
      </c>
      <c r="C34" s="2" t="s">
        <v>37</v>
      </c>
      <c r="D34" s="2" t="s">
        <v>104</v>
      </c>
      <c r="E34" s="2" t="s">
        <v>139</v>
      </c>
      <c r="F34" s="2">
        <v>22</v>
      </c>
      <c r="G34" s="2">
        <v>87521496</v>
      </c>
      <c r="H34" s="2">
        <v>14</v>
      </c>
      <c r="I34" s="2" t="s">
        <v>255</v>
      </c>
      <c r="J34" s="2" t="s">
        <v>220</v>
      </c>
      <c r="K34" s="3">
        <v>135000</v>
      </c>
      <c r="L34" s="2">
        <v>2</v>
      </c>
      <c r="M34" s="14" t="str">
        <f t="shared" si="0"/>
        <v>no</v>
      </c>
      <c r="N34" s="16">
        <v>45840</v>
      </c>
      <c r="O34" s="2" t="s">
        <v>240</v>
      </c>
      <c r="P34" s="2">
        <v>35000</v>
      </c>
    </row>
    <row r="35" spans="1:23" x14ac:dyDescent="0.3">
      <c r="A35" s="2">
        <v>34</v>
      </c>
      <c r="B35" s="2">
        <v>1017</v>
      </c>
      <c r="C35" s="2" t="s">
        <v>38</v>
      </c>
      <c r="D35" s="2" t="s">
        <v>104</v>
      </c>
      <c r="E35" s="2" t="s">
        <v>140</v>
      </c>
      <c r="F35" s="2">
        <v>24</v>
      </c>
      <c r="G35" s="2">
        <v>12654783</v>
      </c>
      <c r="H35" s="2">
        <v>13</v>
      </c>
      <c r="I35" s="2" t="s">
        <v>253</v>
      </c>
      <c r="J35" s="2" t="s">
        <v>221</v>
      </c>
      <c r="K35" s="3">
        <v>125000</v>
      </c>
      <c r="L35" s="2">
        <v>3</v>
      </c>
      <c r="M35" s="14" t="str">
        <f t="shared" si="0"/>
        <v>no</v>
      </c>
      <c r="N35" s="16">
        <v>45840</v>
      </c>
      <c r="O35" s="2" t="s">
        <v>240</v>
      </c>
      <c r="P35" s="2">
        <v>30000</v>
      </c>
    </row>
    <row r="36" spans="1:23" x14ac:dyDescent="0.3">
      <c r="A36" s="2">
        <v>35</v>
      </c>
      <c r="B36" s="2">
        <v>1034</v>
      </c>
      <c r="C36" s="2" t="s">
        <v>39</v>
      </c>
      <c r="D36" s="2" t="s">
        <v>104</v>
      </c>
      <c r="E36" s="2" t="s">
        <v>141</v>
      </c>
      <c r="F36" s="2">
        <v>20</v>
      </c>
      <c r="G36" s="2">
        <v>94381652</v>
      </c>
      <c r="H36" s="2">
        <v>14</v>
      </c>
      <c r="I36" s="2" t="s">
        <v>254</v>
      </c>
      <c r="J36" s="2" t="s">
        <v>229</v>
      </c>
      <c r="K36" s="3">
        <v>115000</v>
      </c>
      <c r="L36" s="2">
        <v>2</v>
      </c>
      <c r="M36" s="14" t="str">
        <f t="shared" si="0"/>
        <v>no</v>
      </c>
      <c r="N36" s="16">
        <v>45841</v>
      </c>
      <c r="O36" s="2" t="s">
        <v>240</v>
      </c>
      <c r="P36" s="2">
        <v>25000</v>
      </c>
    </row>
    <row r="37" spans="1:23" x14ac:dyDescent="0.3">
      <c r="A37" s="2">
        <v>36</v>
      </c>
      <c r="B37" s="2">
        <v>1098</v>
      </c>
      <c r="C37" s="2" t="s">
        <v>40</v>
      </c>
      <c r="D37" s="2" t="s">
        <v>104</v>
      </c>
      <c r="E37" s="2" t="s">
        <v>142</v>
      </c>
      <c r="F37" s="2">
        <v>23</v>
      </c>
      <c r="G37" s="2">
        <v>58273164</v>
      </c>
      <c r="H37" s="2">
        <v>14</v>
      </c>
      <c r="I37" s="2" t="s">
        <v>258</v>
      </c>
      <c r="J37" s="2" t="s">
        <v>214</v>
      </c>
      <c r="K37" s="3">
        <v>85000</v>
      </c>
      <c r="L37" s="2">
        <v>3</v>
      </c>
      <c r="M37" s="14" t="str">
        <f t="shared" si="0"/>
        <v>no</v>
      </c>
      <c r="N37" s="16">
        <v>45841</v>
      </c>
      <c r="O37" s="2" t="s">
        <v>241</v>
      </c>
      <c r="P37" s="2">
        <v>0</v>
      </c>
    </row>
    <row r="38" spans="1:23" x14ac:dyDescent="0.3">
      <c r="A38" s="2">
        <v>37</v>
      </c>
      <c r="B38" s="2">
        <v>1089</v>
      </c>
      <c r="C38" s="2" t="s">
        <v>41</v>
      </c>
      <c r="D38" s="2" t="s">
        <v>104</v>
      </c>
      <c r="E38" s="2" t="s">
        <v>143</v>
      </c>
      <c r="F38" s="2">
        <v>23</v>
      </c>
      <c r="G38" s="2">
        <v>71495823</v>
      </c>
      <c r="H38" s="2">
        <v>15</v>
      </c>
      <c r="I38" s="2" t="s">
        <v>257</v>
      </c>
      <c r="J38" s="2" t="s">
        <v>215</v>
      </c>
      <c r="K38" s="3">
        <v>120000</v>
      </c>
      <c r="L38" s="2">
        <v>2</v>
      </c>
      <c r="M38" s="14" t="str">
        <f t="shared" si="0"/>
        <v>no</v>
      </c>
      <c r="N38" s="16">
        <v>45842</v>
      </c>
      <c r="O38" s="2" t="s">
        <v>240</v>
      </c>
      <c r="P38" s="2">
        <v>30000</v>
      </c>
    </row>
    <row r="39" spans="1:23" x14ac:dyDescent="0.3">
      <c r="A39" s="2">
        <v>38</v>
      </c>
      <c r="B39" s="2">
        <v>1088</v>
      </c>
      <c r="C39" s="2" t="s">
        <v>42</v>
      </c>
      <c r="D39" s="2" t="s">
        <v>104</v>
      </c>
      <c r="E39" s="2" t="s">
        <v>144</v>
      </c>
      <c r="F39" s="2">
        <v>20</v>
      </c>
      <c r="G39" s="2">
        <v>36812579</v>
      </c>
      <c r="H39" s="2">
        <v>11</v>
      </c>
      <c r="I39" s="2" t="s">
        <v>259</v>
      </c>
      <c r="J39" s="2" t="s">
        <v>216</v>
      </c>
      <c r="K39" s="3">
        <v>115000</v>
      </c>
      <c r="L39" s="2">
        <v>3</v>
      </c>
      <c r="M39" s="14" t="str">
        <f t="shared" si="0"/>
        <v>no</v>
      </c>
      <c r="N39" s="16">
        <v>45842</v>
      </c>
      <c r="O39" s="2" t="s">
        <v>241</v>
      </c>
      <c r="P39" s="2">
        <v>0</v>
      </c>
    </row>
    <row r="40" spans="1:23" x14ac:dyDescent="0.3">
      <c r="A40" s="2">
        <v>39</v>
      </c>
      <c r="B40" s="2">
        <v>1050</v>
      </c>
      <c r="C40" s="2" t="s">
        <v>43</v>
      </c>
      <c r="D40" s="2" t="s">
        <v>104</v>
      </c>
      <c r="E40" s="2" t="s">
        <v>145</v>
      </c>
      <c r="F40" s="2">
        <v>23</v>
      </c>
      <c r="G40" s="2">
        <v>89746215</v>
      </c>
      <c r="H40" s="2">
        <v>13</v>
      </c>
      <c r="I40" s="2" t="s">
        <v>260</v>
      </c>
      <c r="J40" s="2" t="s">
        <v>217</v>
      </c>
      <c r="K40" s="3">
        <v>118000</v>
      </c>
      <c r="L40" s="2">
        <v>0</v>
      </c>
      <c r="M40" s="14" t="str">
        <f t="shared" si="0"/>
        <v>yes</v>
      </c>
      <c r="N40" s="16">
        <v>45843</v>
      </c>
      <c r="O40" s="2" t="s">
        <v>240</v>
      </c>
      <c r="P40" s="2">
        <v>25000</v>
      </c>
    </row>
    <row r="41" spans="1:23" x14ac:dyDescent="0.3">
      <c r="A41" s="2">
        <v>40</v>
      </c>
      <c r="B41" s="2">
        <v>1008</v>
      </c>
      <c r="C41" s="2" t="s">
        <v>44</v>
      </c>
      <c r="D41" s="2" t="s">
        <v>104</v>
      </c>
      <c r="E41" s="2" t="s">
        <v>146</v>
      </c>
      <c r="F41" s="2">
        <v>22</v>
      </c>
      <c r="G41" s="2">
        <v>25179384</v>
      </c>
      <c r="H41" s="2">
        <v>15</v>
      </c>
      <c r="I41" s="2" t="s">
        <v>256</v>
      </c>
      <c r="J41" s="2" t="s">
        <v>218</v>
      </c>
      <c r="K41" s="3">
        <v>105000</v>
      </c>
      <c r="L41" s="2">
        <v>0</v>
      </c>
      <c r="M41" s="14" t="str">
        <f t="shared" si="0"/>
        <v>yes</v>
      </c>
      <c r="N41" s="16">
        <v>45843</v>
      </c>
      <c r="O41" s="2" t="s">
        <v>240</v>
      </c>
      <c r="P41" s="2">
        <v>20000</v>
      </c>
    </row>
    <row r="42" spans="1:23" x14ac:dyDescent="0.3">
      <c r="A42" s="2">
        <v>41</v>
      </c>
      <c r="B42" s="2">
        <v>1032</v>
      </c>
      <c r="C42" s="2" t="s">
        <v>45</v>
      </c>
      <c r="D42" s="2" t="s">
        <v>105</v>
      </c>
      <c r="E42" s="2" t="s">
        <v>147</v>
      </c>
      <c r="F42" s="2">
        <v>19</v>
      </c>
      <c r="G42" s="2">
        <v>67438591</v>
      </c>
      <c r="H42" s="2">
        <v>13</v>
      </c>
      <c r="I42" s="2" t="s">
        <v>251</v>
      </c>
      <c r="J42" s="2" t="s">
        <v>219</v>
      </c>
      <c r="K42" s="3">
        <v>130000</v>
      </c>
      <c r="L42" s="2">
        <v>3</v>
      </c>
      <c r="M42" s="14" t="str">
        <f t="shared" si="0"/>
        <v>no</v>
      </c>
      <c r="N42" s="16">
        <v>45844</v>
      </c>
      <c r="O42" s="2" t="s">
        <v>240</v>
      </c>
      <c r="P42" s="2">
        <v>35000</v>
      </c>
    </row>
    <row r="43" spans="1:23" x14ac:dyDescent="0.3">
      <c r="A43" s="2">
        <v>42</v>
      </c>
      <c r="B43" s="2">
        <v>1075</v>
      </c>
      <c r="C43" s="2" t="s">
        <v>46</v>
      </c>
      <c r="D43" s="2" t="s">
        <v>105</v>
      </c>
      <c r="E43" s="2" t="s">
        <v>148</v>
      </c>
      <c r="F43" s="2">
        <v>22</v>
      </c>
      <c r="G43" s="2">
        <v>93851724</v>
      </c>
      <c r="H43" s="2">
        <v>11</v>
      </c>
      <c r="I43" s="2" t="s">
        <v>252</v>
      </c>
      <c r="J43" s="2" t="s">
        <v>220</v>
      </c>
      <c r="K43" s="3">
        <v>135000</v>
      </c>
      <c r="L43" s="2">
        <v>3</v>
      </c>
      <c r="M43" s="14" t="str">
        <f t="shared" si="0"/>
        <v>no</v>
      </c>
      <c r="N43" s="16">
        <v>45844</v>
      </c>
      <c r="O43" s="2" t="s">
        <v>240</v>
      </c>
      <c r="P43" s="2">
        <v>35000</v>
      </c>
    </row>
    <row r="44" spans="1:23" x14ac:dyDescent="0.3">
      <c r="A44" s="2">
        <v>43</v>
      </c>
      <c r="B44" s="2">
        <v>1038</v>
      </c>
      <c r="C44" s="2" t="s">
        <v>47</v>
      </c>
      <c r="D44" s="2" t="s">
        <v>105</v>
      </c>
      <c r="E44" s="2" t="s">
        <v>149</v>
      </c>
      <c r="F44" s="2">
        <v>20</v>
      </c>
      <c r="G44" s="2">
        <v>14586937</v>
      </c>
      <c r="H44" s="2">
        <v>12</v>
      </c>
      <c r="I44" s="2" t="s">
        <v>254</v>
      </c>
      <c r="J44" s="2" t="s">
        <v>221</v>
      </c>
      <c r="K44" s="3">
        <v>125000</v>
      </c>
      <c r="L44" s="2">
        <v>2</v>
      </c>
      <c r="M44" s="14" t="str">
        <f t="shared" si="0"/>
        <v>no</v>
      </c>
      <c r="N44" s="16">
        <v>45845</v>
      </c>
      <c r="O44" s="2" t="s">
        <v>240</v>
      </c>
      <c r="P44" s="2">
        <v>30000</v>
      </c>
    </row>
    <row r="45" spans="1:23" x14ac:dyDescent="0.3">
      <c r="A45" s="2">
        <v>44</v>
      </c>
      <c r="B45" s="2">
        <v>1026</v>
      </c>
      <c r="C45" s="2" t="s">
        <v>48</v>
      </c>
      <c r="D45" s="2" t="s">
        <v>105</v>
      </c>
      <c r="E45" s="2" t="s">
        <v>150</v>
      </c>
      <c r="F45" s="2">
        <v>19</v>
      </c>
      <c r="G45" s="2">
        <v>78629415</v>
      </c>
      <c r="H45" s="2">
        <v>11</v>
      </c>
      <c r="I45" s="2" t="s">
        <v>253</v>
      </c>
      <c r="J45" s="2" t="s">
        <v>229</v>
      </c>
      <c r="K45" s="3">
        <v>115000</v>
      </c>
      <c r="L45" s="2">
        <v>3</v>
      </c>
      <c r="M45" s="14" t="str">
        <f t="shared" si="0"/>
        <v>no</v>
      </c>
      <c r="N45" s="16">
        <v>45845</v>
      </c>
      <c r="O45" s="2" t="s">
        <v>240</v>
      </c>
      <c r="P45" s="2">
        <v>25000</v>
      </c>
      <c r="W45" s="10"/>
    </row>
    <row r="46" spans="1:23" ht="15" thickBot="1" x14ac:dyDescent="0.35">
      <c r="A46" s="2">
        <v>45</v>
      </c>
      <c r="B46" s="2">
        <v>1006</v>
      </c>
      <c r="C46" s="2" t="s">
        <v>49</v>
      </c>
      <c r="D46" s="2" t="s">
        <v>105</v>
      </c>
      <c r="E46" s="2" t="s">
        <v>151</v>
      </c>
      <c r="F46" s="2">
        <v>23</v>
      </c>
      <c r="G46" s="2">
        <v>32947168</v>
      </c>
      <c r="H46" s="2">
        <v>15</v>
      </c>
      <c r="I46" s="2" t="s">
        <v>255</v>
      </c>
      <c r="J46" s="2" t="s">
        <v>216</v>
      </c>
      <c r="K46" s="3">
        <v>115000</v>
      </c>
      <c r="L46" s="2">
        <v>2</v>
      </c>
      <c r="M46" s="14" t="str">
        <f t="shared" si="0"/>
        <v>no</v>
      </c>
      <c r="N46" s="16">
        <v>45846</v>
      </c>
      <c r="O46" s="2" t="s">
        <v>241</v>
      </c>
      <c r="P46" s="2">
        <v>0</v>
      </c>
      <c r="W46" s="11"/>
    </row>
    <row r="47" spans="1:23" x14ac:dyDescent="0.3">
      <c r="A47" s="2">
        <v>46</v>
      </c>
      <c r="B47" s="2">
        <v>1028</v>
      </c>
      <c r="C47" s="2" t="s">
        <v>50</v>
      </c>
      <c r="D47" s="2" t="s">
        <v>105</v>
      </c>
      <c r="E47" s="2" t="s">
        <v>152</v>
      </c>
      <c r="F47" s="2">
        <v>18</v>
      </c>
      <c r="G47" s="2">
        <v>86175249</v>
      </c>
      <c r="H47" s="2">
        <v>15</v>
      </c>
      <c r="I47" s="2" t="s">
        <v>257</v>
      </c>
      <c r="J47" s="2" t="s">
        <v>217</v>
      </c>
      <c r="K47" s="3">
        <v>118000</v>
      </c>
      <c r="L47" s="2">
        <v>3</v>
      </c>
      <c r="M47" s="14" t="str">
        <f t="shared" si="0"/>
        <v>no</v>
      </c>
      <c r="N47" s="16">
        <v>45846</v>
      </c>
      <c r="O47" s="2" t="s">
        <v>240</v>
      </c>
      <c r="P47" s="2">
        <v>25000</v>
      </c>
    </row>
    <row r="48" spans="1:23" x14ac:dyDescent="0.3">
      <c r="A48" s="2">
        <v>47</v>
      </c>
      <c r="B48" s="2">
        <v>1059</v>
      </c>
      <c r="C48" s="2" t="s">
        <v>51</v>
      </c>
      <c r="D48" s="2" t="s">
        <v>105</v>
      </c>
      <c r="E48" s="2" t="s">
        <v>153</v>
      </c>
      <c r="F48" s="2">
        <v>24</v>
      </c>
      <c r="G48" s="2">
        <v>49713682</v>
      </c>
      <c r="H48" s="2">
        <v>14</v>
      </c>
      <c r="I48" s="2" t="s">
        <v>258</v>
      </c>
      <c r="J48" s="2" t="s">
        <v>218</v>
      </c>
      <c r="K48" s="3">
        <v>105000</v>
      </c>
      <c r="L48" s="2">
        <v>3</v>
      </c>
      <c r="M48" s="14" t="str">
        <f t="shared" si="0"/>
        <v>no</v>
      </c>
      <c r="N48" s="16">
        <v>45847</v>
      </c>
      <c r="O48" s="2" t="s">
        <v>240</v>
      </c>
      <c r="P48" s="2">
        <v>20000</v>
      </c>
    </row>
    <row r="49" spans="1:16" x14ac:dyDescent="0.3">
      <c r="A49" s="2">
        <v>48</v>
      </c>
      <c r="B49" s="2">
        <v>1068</v>
      </c>
      <c r="C49" s="2" t="s">
        <v>52</v>
      </c>
      <c r="D49" s="2" t="s">
        <v>105</v>
      </c>
      <c r="E49" s="2" t="s">
        <v>154</v>
      </c>
      <c r="F49" s="2">
        <v>23</v>
      </c>
      <c r="G49" s="2">
        <v>21598473</v>
      </c>
      <c r="H49" s="2">
        <v>12</v>
      </c>
      <c r="I49" s="2" t="s">
        <v>256</v>
      </c>
      <c r="J49" s="2" t="s">
        <v>219</v>
      </c>
      <c r="K49" s="3">
        <v>130000</v>
      </c>
      <c r="L49" s="2">
        <v>3</v>
      </c>
      <c r="M49" s="14" t="str">
        <f t="shared" si="0"/>
        <v>no</v>
      </c>
      <c r="N49" s="16">
        <v>45847</v>
      </c>
      <c r="O49" s="2" t="s">
        <v>240</v>
      </c>
      <c r="P49" s="2">
        <v>35000</v>
      </c>
    </row>
    <row r="50" spans="1:16" x14ac:dyDescent="0.3">
      <c r="A50" s="2">
        <v>49</v>
      </c>
      <c r="B50" s="2">
        <v>1024</v>
      </c>
      <c r="C50" s="2" t="s">
        <v>53</v>
      </c>
      <c r="D50" s="2" t="s">
        <v>105</v>
      </c>
      <c r="E50" s="2" t="s">
        <v>155</v>
      </c>
      <c r="F50" s="2">
        <v>24</v>
      </c>
      <c r="G50" s="2">
        <v>75362814</v>
      </c>
      <c r="H50" s="2">
        <v>13</v>
      </c>
      <c r="I50" s="2" t="s">
        <v>260</v>
      </c>
      <c r="J50" s="2" t="s">
        <v>220</v>
      </c>
      <c r="K50" s="3">
        <v>135000</v>
      </c>
      <c r="L50" s="2">
        <v>3</v>
      </c>
      <c r="M50" s="14" t="str">
        <f t="shared" si="0"/>
        <v>no</v>
      </c>
      <c r="N50" s="16">
        <v>45848</v>
      </c>
      <c r="O50" s="2" t="s">
        <v>240</v>
      </c>
      <c r="P50" s="2">
        <v>35000</v>
      </c>
    </row>
    <row r="51" spans="1:16" x14ac:dyDescent="0.3">
      <c r="A51" s="2">
        <v>50</v>
      </c>
      <c r="B51" s="2">
        <v>1090</v>
      </c>
      <c r="C51" s="2" t="s">
        <v>54</v>
      </c>
      <c r="D51" s="2" t="s">
        <v>105</v>
      </c>
      <c r="E51" s="2" t="s">
        <v>156</v>
      </c>
      <c r="F51" s="2">
        <v>19</v>
      </c>
      <c r="G51" s="2">
        <v>68472591</v>
      </c>
      <c r="H51" s="2">
        <v>12</v>
      </c>
      <c r="I51" s="2" t="s">
        <v>259</v>
      </c>
      <c r="J51" s="2" t="s">
        <v>221</v>
      </c>
      <c r="K51" s="3">
        <v>125000</v>
      </c>
      <c r="L51" s="2">
        <v>2</v>
      </c>
      <c r="M51" s="14" t="str">
        <f t="shared" si="0"/>
        <v>no</v>
      </c>
      <c r="N51" s="16">
        <v>45848</v>
      </c>
      <c r="O51" s="2" t="s">
        <v>240</v>
      </c>
      <c r="P51" s="2">
        <v>30000</v>
      </c>
    </row>
    <row r="52" spans="1:16" x14ac:dyDescent="0.3">
      <c r="A52" s="2">
        <v>51</v>
      </c>
      <c r="B52" s="2">
        <v>1086</v>
      </c>
      <c r="C52" s="2" t="s">
        <v>55</v>
      </c>
      <c r="D52" s="2" t="s">
        <v>105</v>
      </c>
      <c r="E52" s="2" t="s">
        <v>157</v>
      </c>
      <c r="F52" s="2">
        <v>23</v>
      </c>
      <c r="G52" s="2">
        <v>91725834</v>
      </c>
      <c r="H52" s="2">
        <v>14</v>
      </c>
      <c r="I52" s="2" t="s">
        <v>251</v>
      </c>
      <c r="J52" s="2" t="s">
        <v>229</v>
      </c>
      <c r="K52" s="3">
        <v>115000</v>
      </c>
      <c r="L52" s="2">
        <v>3</v>
      </c>
      <c r="M52" s="14" t="str">
        <f t="shared" si="0"/>
        <v>no</v>
      </c>
      <c r="N52" s="16">
        <v>45849</v>
      </c>
      <c r="O52" s="2" t="s">
        <v>240</v>
      </c>
      <c r="P52" s="2">
        <v>25000</v>
      </c>
    </row>
    <row r="53" spans="1:16" x14ac:dyDescent="0.3">
      <c r="A53" s="2">
        <v>52</v>
      </c>
      <c r="B53" s="2">
        <v>1020</v>
      </c>
      <c r="C53" s="2" t="s">
        <v>56</v>
      </c>
      <c r="D53" s="2" t="s">
        <v>105</v>
      </c>
      <c r="E53" s="2" t="s">
        <v>158</v>
      </c>
      <c r="F53" s="2">
        <v>25</v>
      </c>
      <c r="G53" s="2">
        <v>43857216</v>
      </c>
      <c r="H53" s="2">
        <v>14</v>
      </c>
      <c r="I53" s="2" t="s">
        <v>255</v>
      </c>
      <c r="J53" s="2" t="s">
        <v>230</v>
      </c>
      <c r="K53" s="3">
        <v>120000</v>
      </c>
      <c r="L53" s="2">
        <v>3</v>
      </c>
      <c r="M53" s="14" t="str">
        <f t="shared" si="0"/>
        <v>no</v>
      </c>
      <c r="N53" s="16">
        <v>45849</v>
      </c>
      <c r="O53" s="2" t="s">
        <v>240</v>
      </c>
      <c r="P53" s="2">
        <v>20000</v>
      </c>
    </row>
    <row r="54" spans="1:16" x14ac:dyDescent="0.3">
      <c r="A54" s="2">
        <v>53</v>
      </c>
      <c r="B54" s="2">
        <v>1082</v>
      </c>
      <c r="C54" s="2" t="s">
        <v>57</v>
      </c>
      <c r="D54" s="2" t="s">
        <v>105</v>
      </c>
      <c r="E54" s="2" t="s">
        <v>159</v>
      </c>
      <c r="F54" s="2">
        <v>20</v>
      </c>
      <c r="G54" s="2">
        <v>26514987</v>
      </c>
      <c r="H54" s="2">
        <v>14</v>
      </c>
      <c r="I54" s="2" t="s">
        <v>252</v>
      </c>
      <c r="J54" s="2" t="s">
        <v>215</v>
      </c>
      <c r="K54" s="3">
        <v>120000</v>
      </c>
      <c r="L54" s="2">
        <v>2</v>
      </c>
      <c r="M54" s="14" t="str">
        <f t="shared" si="0"/>
        <v>no</v>
      </c>
      <c r="N54" s="16">
        <v>45850</v>
      </c>
      <c r="O54" s="2" t="s">
        <v>240</v>
      </c>
      <c r="P54" s="2">
        <v>30000</v>
      </c>
    </row>
    <row r="55" spans="1:16" x14ac:dyDescent="0.3">
      <c r="A55" s="2">
        <v>54</v>
      </c>
      <c r="B55" s="2">
        <v>1055</v>
      </c>
      <c r="C55" s="2" t="s">
        <v>58</v>
      </c>
      <c r="D55" s="2" t="s">
        <v>105</v>
      </c>
      <c r="E55" s="2" t="s">
        <v>160</v>
      </c>
      <c r="F55" s="2">
        <v>21</v>
      </c>
      <c r="G55" s="2">
        <v>87439152</v>
      </c>
      <c r="H55" s="2">
        <v>14</v>
      </c>
      <c r="I55" s="2" t="s">
        <v>253</v>
      </c>
      <c r="J55" s="2" t="s">
        <v>216</v>
      </c>
      <c r="K55" s="3">
        <v>115000</v>
      </c>
      <c r="L55" s="2">
        <v>2</v>
      </c>
      <c r="M55" s="14" t="str">
        <f t="shared" si="0"/>
        <v>no</v>
      </c>
      <c r="N55" s="16">
        <v>45850</v>
      </c>
      <c r="O55" s="2" t="s">
        <v>241</v>
      </c>
      <c r="P55" s="2">
        <v>0</v>
      </c>
    </row>
    <row r="56" spans="1:16" x14ac:dyDescent="0.3">
      <c r="A56" s="2">
        <v>55</v>
      </c>
      <c r="B56" s="2">
        <v>1069</v>
      </c>
      <c r="C56" s="2" t="s">
        <v>59</v>
      </c>
      <c r="D56" s="2" t="s">
        <v>105</v>
      </c>
      <c r="E56" s="2" t="s">
        <v>161</v>
      </c>
      <c r="F56" s="2">
        <v>22</v>
      </c>
      <c r="G56" s="2">
        <v>53182749</v>
      </c>
      <c r="H56" s="2">
        <v>14</v>
      </c>
      <c r="I56" s="2" t="s">
        <v>254</v>
      </c>
      <c r="J56" s="2" t="s">
        <v>217</v>
      </c>
      <c r="K56" s="3">
        <v>118000</v>
      </c>
      <c r="L56" s="2">
        <v>2</v>
      </c>
      <c r="M56" s="14" t="str">
        <f t="shared" si="0"/>
        <v>no</v>
      </c>
      <c r="N56" s="16">
        <v>45851</v>
      </c>
      <c r="O56" s="2" t="s">
        <v>240</v>
      </c>
      <c r="P56" s="2">
        <v>25000</v>
      </c>
    </row>
    <row r="57" spans="1:16" x14ac:dyDescent="0.3">
      <c r="A57" s="2">
        <v>56</v>
      </c>
      <c r="B57" s="2">
        <v>1042</v>
      </c>
      <c r="C57" s="2" t="s">
        <v>60</v>
      </c>
      <c r="D57" s="2" t="s">
        <v>105</v>
      </c>
      <c r="E57" s="2" t="s">
        <v>162</v>
      </c>
      <c r="F57" s="2">
        <v>21</v>
      </c>
      <c r="G57" s="2">
        <v>79261538</v>
      </c>
      <c r="H57" s="2">
        <v>13</v>
      </c>
      <c r="I57" s="2" t="s">
        <v>259</v>
      </c>
      <c r="J57" s="2" t="s">
        <v>218</v>
      </c>
      <c r="K57" s="3">
        <v>105000</v>
      </c>
      <c r="L57" s="2">
        <v>3</v>
      </c>
      <c r="M57" s="14" t="str">
        <f t="shared" si="0"/>
        <v>no</v>
      </c>
      <c r="N57" s="16">
        <v>45851</v>
      </c>
      <c r="O57" s="2" t="s">
        <v>240</v>
      </c>
      <c r="P57" s="2">
        <v>20000</v>
      </c>
    </row>
    <row r="58" spans="1:16" x14ac:dyDescent="0.3">
      <c r="A58" s="2">
        <v>57</v>
      </c>
      <c r="B58" s="2">
        <v>1085</v>
      </c>
      <c r="C58" s="2" t="s">
        <v>61</v>
      </c>
      <c r="D58" s="2" t="s">
        <v>105</v>
      </c>
      <c r="E58" s="2" t="s">
        <v>163</v>
      </c>
      <c r="F58" s="2">
        <v>19</v>
      </c>
      <c r="G58" s="2">
        <v>14697325</v>
      </c>
      <c r="H58" s="2">
        <v>12</v>
      </c>
      <c r="I58" s="2" t="s">
        <v>257</v>
      </c>
      <c r="J58" s="2" t="s">
        <v>219</v>
      </c>
      <c r="K58" s="3">
        <v>130000</v>
      </c>
      <c r="L58" s="2">
        <v>3</v>
      </c>
      <c r="M58" s="14" t="str">
        <f t="shared" si="0"/>
        <v>no</v>
      </c>
      <c r="N58" s="16">
        <v>45852</v>
      </c>
      <c r="O58" s="2" t="s">
        <v>240</v>
      </c>
      <c r="P58" s="2">
        <v>35000</v>
      </c>
    </row>
    <row r="59" spans="1:16" x14ac:dyDescent="0.3">
      <c r="A59" s="2">
        <v>58</v>
      </c>
      <c r="B59" s="2">
        <v>1067</v>
      </c>
      <c r="C59" s="2" t="s">
        <v>62</v>
      </c>
      <c r="D59" s="2" t="s">
        <v>105</v>
      </c>
      <c r="E59" s="2" t="s">
        <v>164</v>
      </c>
      <c r="F59" s="2">
        <v>21</v>
      </c>
      <c r="G59" s="2">
        <v>95824176</v>
      </c>
      <c r="H59" s="2">
        <v>12</v>
      </c>
      <c r="I59" s="2" t="s">
        <v>258</v>
      </c>
      <c r="J59" s="2" t="s">
        <v>220</v>
      </c>
      <c r="K59" s="3">
        <v>135000</v>
      </c>
      <c r="L59" s="2">
        <v>0</v>
      </c>
      <c r="M59" s="14" t="str">
        <f t="shared" si="0"/>
        <v>yes</v>
      </c>
      <c r="N59" s="16">
        <v>45852</v>
      </c>
      <c r="O59" s="2" t="s">
        <v>240</v>
      </c>
      <c r="P59" s="2">
        <v>35000</v>
      </c>
    </row>
    <row r="60" spans="1:16" x14ac:dyDescent="0.3">
      <c r="A60" s="2">
        <v>59</v>
      </c>
      <c r="B60" s="2">
        <v>1030</v>
      </c>
      <c r="C60" s="2" t="s">
        <v>63</v>
      </c>
      <c r="D60" s="2" t="s">
        <v>105</v>
      </c>
      <c r="E60" s="2" t="s">
        <v>165</v>
      </c>
      <c r="F60" s="2">
        <v>21</v>
      </c>
      <c r="G60" s="2">
        <v>32768491</v>
      </c>
      <c r="H60" s="2">
        <v>14</v>
      </c>
      <c r="I60" s="2" t="s">
        <v>260</v>
      </c>
      <c r="J60" s="2" t="s">
        <v>221</v>
      </c>
      <c r="K60" s="3">
        <v>125000</v>
      </c>
      <c r="L60" s="2">
        <v>2</v>
      </c>
      <c r="M60" s="14" t="str">
        <f t="shared" si="0"/>
        <v>no</v>
      </c>
      <c r="N60" s="16">
        <v>45853</v>
      </c>
      <c r="O60" s="2" t="s">
        <v>240</v>
      </c>
      <c r="P60" s="2">
        <v>30000</v>
      </c>
    </row>
    <row r="61" spans="1:16" x14ac:dyDescent="0.3">
      <c r="A61" s="2">
        <v>60</v>
      </c>
      <c r="B61" s="2">
        <v>1061</v>
      </c>
      <c r="C61" s="2" t="s">
        <v>64</v>
      </c>
      <c r="D61" s="2" t="s">
        <v>105</v>
      </c>
      <c r="E61" s="2" t="s">
        <v>166</v>
      </c>
      <c r="F61" s="2">
        <v>18</v>
      </c>
      <c r="G61" s="2">
        <v>68591743</v>
      </c>
      <c r="H61" s="2">
        <v>14</v>
      </c>
      <c r="I61" s="2" t="s">
        <v>256</v>
      </c>
      <c r="J61" s="2" t="s">
        <v>229</v>
      </c>
      <c r="K61" s="3">
        <v>115000</v>
      </c>
      <c r="L61" s="2">
        <v>2</v>
      </c>
      <c r="M61" s="14" t="str">
        <f t="shared" si="0"/>
        <v>no</v>
      </c>
      <c r="N61" s="16">
        <v>45853</v>
      </c>
      <c r="O61" s="2" t="s">
        <v>240</v>
      </c>
      <c r="P61" s="2">
        <v>25000</v>
      </c>
    </row>
    <row r="62" spans="1:16" x14ac:dyDescent="0.3">
      <c r="A62" s="2">
        <v>61</v>
      </c>
      <c r="B62" s="2">
        <v>1019</v>
      </c>
      <c r="C62" s="2" t="s">
        <v>65</v>
      </c>
      <c r="D62" s="2" t="s">
        <v>104</v>
      </c>
      <c r="E62" s="2" t="s">
        <v>167</v>
      </c>
      <c r="F62" s="2">
        <v>23</v>
      </c>
      <c r="G62" s="2">
        <v>41973682</v>
      </c>
      <c r="H62" s="2">
        <v>12</v>
      </c>
      <c r="I62" s="2" t="s">
        <v>252</v>
      </c>
      <c r="J62" s="2" t="s">
        <v>226</v>
      </c>
      <c r="K62" s="3">
        <v>70000</v>
      </c>
      <c r="L62" s="2">
        <v>2</v>
      </c>
      <c r="M62" s="14" t="str">
        <f t="shared" si="0"/>
        <v>no</v>
      </c>
      <c r="N62" s="16">
        <v>45854</v>
      </c>
      <c r="O62" s="2" t="s">
        <v>240</v>
      </c>
      <c r="P62" s="2">
        <v>15000</v>
      </c>
    </row>
    <row r="63" spans="1:16" x14ac:dyDescent="0.3">
      <c r="A63" s="2">
        <v>62</v>
      </c>
      <c r="B63" s="2">
        <v>1035</v>
      </c>
      <c r="C63" s="2" t="s">
        <v>66</v>
      </c>
      <c r="D63" s="2" t="s">
        <v>104</v>
      </c>
      <c r="E63" s="2" t="s">
        <v>168</v>
      </c>
      <c r="F63" s="2">
        <v>20</v>
      </c>
      <c r="G63" s="2">
        <v>87324516</v>
      </c>
      <c r="H63" s="2">
        <v>11</v>
      </c>
      <c r="I63" s="2" t="s">
        <v>251</v>
      </c>
      <c r="J63" s="2" t="s">
        <v>222</v>
      </c>
      <c r="K63" s="3">
        <v>80000</v>
      </c>
      <c r="L63" s="2">
        <v>0</v>
      </c>
      <c r="M63" s="14" t="str">
        <f t="shared" si="0"/>
        <v>yes</v>
      </c>
      <c r="N63" s="16">
        <v>45854</v>
      </c>
      <c r="O63" s="2" t="s">
        <v>241</v>
      </c>
      <c r="P63" s="2">
        <v>0</v>
      </c>
    </row>
    <row r="64" spans="1:16" x14ac:dyDescent="0.3">
      <c r="A64" s="2">
        <v>63</v>
      </c>
      <c r="B64" s="2">
        <v>1036</v>
      </c>
      <c r="C64" s="2" t="s">
        <v>67</v>
      </c>
      <c r="D64" s="2" t="s">
        <v>104</v>
      </c>
      <c r="E64" s="2" t="s">
        <v>169</v>
      </c>
      <c r="F64" s="2">
        <v>23</v>
      </c>
      <c r="G64" s="2">
        <v>25486197</v>
      </c>
      <c r="H64" s="2">
        <v>15</v>
      </c>
      <c r="I64" s="2" t="s">
        <v>253</v>
      </c>
      <c r="J64" s="2" t="s">
        <v>223</v>
      </c>
      <c r="K64" s="3">
        <v>90000</v>
      </c>
      <c r="L64" s="2">
        <v>3</v>
      </c>
      <c r="M64" s="14" t="str">
        <f t="shared" si="0"/>
        <v>no</v>
      </c>
      <c r="N64" s="16">
        <v>45855</v>
      </c>
      <c r="O64" s="2" t="s">
        <v>241</v>
      </c>
      <c r="P64" s="2">
        <v>0</v>
      </c>
    </row>
    <row r="65" spans="1:16" x14ac:dyDescent="0.3">
      <c r="A65" s="2">
        <v>64</v>
      </c>
      <c r="B65" s="2">
        <v>1012</v>
      </c>
      <c r="C65" s="2" t="s">
        <v>68</v>
      </c>
      <c r="D65" s="2" t="s">
        <v>104</v>
      </c>
      <c r="E65" s="2" t="s">
        <v>170</v>
      </c>
      <c r="F65" s="2">
        <v>24</v>
      </c>
      <c r="G65" s="2">
        <v>71639284</v>
      </c>
      <c r="H65" s="2">
        <v>12</v>
      </c>
      <c r="I65" s="2" t="s">
        <v>255</v>
      </c>
      <c r="J65" s="2" t="s">
        <v>212</v>
      </c>
      <c r="K65" s="3">
        <v>95000</v>
      </c>
      <c r="L65" s="2">
        <v>3</v>
      </c>
      <c r="M65" s="14" t="str">
        <f t="shared" si="0"/>
        <v>no</v>
      </c>
      <c r="N65" s="16">
        <v>45855</v>
      </c>
      <c r="O65" s="2" t="s">
        <v>240</v>
      </c>
      <c r="P65" s="2">
        <v>20000</v>
      </c>
    </row>
    <row r="66" spans="1:16" x14ac:dyDescent="0.3">
      <c r="A66" s="2">
        <v>65</v>
      </c>
      <c r="B66" s="2">
        <v>1044</v>
      </c>
      <c r="C66" s="2" t="s">
        <v>69</v>
      </c>
      <c r="D66" s="2" t="s">
        <v>104</v>
      </c>
      <c r="E66" s="2" t="s">
        <v>171</v>
      </c>
      <c r="F66" s="2">
        <v>25</v>
      </c>
      <c r="G66" s="2">
        <v>94817523</v>
      </c>
      <c r="H66" s="2">
        <v>11</v>
      </c>
      <c r="I66" s="2" t="s">
        <v>254</v>
      </c>
      <c r="J66" s="2" t="s">
        <v>213</v>
      </c>
      <c r="K66" s="3">
        <v>110000</v>
      </c>
      <c r="L66" s="2">
        <v>2</v>
      </c>
      <c r="M66" s="14" t="str">
        <f t="shared" si="0"/>
        <v>no</v>
      </c>
      <c r="N66" s="16">
        <v>45856</v>
      </c>
      <c r="O66" s="2" t="s">
        <v>240</v>
      </c>
      <c r="P66" s="2">
        <v>25000</v>
      </c>
    </row>
    <row r="67" spans="1:16" x14ac:dyDescent="0.3">
      <c r="A67" s="2">
        <v>66</v>
      </c>
      <c r="B67" s="2">
        <v>1010</v>
      </c>
      <c r="C67" s="2" t="s">
        <v>70</v>
      </c>
      <c r="D67" s="2" t="s">
        <v>104</v>
      </c>
      <c r="E67" s="2" t="s">
        <v>172</v>
      </c>
      <c r="F67" s="2">
        <v>18</v>
      </c>
      <c r="G67" s="2">
        <v>36572841</v>
      </c>
      <c r="H67" s="2">
        <v>12</v>
      </c>
      <c r="I67" s="2" t="s">
        <v>257</v>
      </c>
      <c r="J67" s="2" t="s">
        <v>214</v>
      </c>
      <c r="K67" s="3">
        <v>85000</v>
      </c>
      <c r="L67" s="2">
        <v>3</v>
      </c>
      <c r="M67" s="14" t="str">
        <f t="shared" ref="M67:M101" si="1">IF(L67&lt;2,"yes","no")</f>
        <v>no</v>
      </c>
      <c r="N67" s="16">
        <v>45856</v>
      </c>
      <c r="O67" s="2" t="s">
        <v>241</v>
      </c>
      <c r="P67" s="2">
        <v>0</v>
      </c>
    </row>
    <row r="68" spans="1:16" x14ac:dyDescent="0.3">
      <c r="A68" s="2">
        <v>67</v>
      </c>
      <c r="B68" s="2">
        <v>1097</v>
      </c>
      <c r="C68" s="2" t="s">
        <v>71</v>
      </c>
      <c r="D68" s="2" t="s">
        <v>104</v>
      </c>
      <c r="E68" s="2" t="s">
        <v>173</v>
      </c>
      <c r="F68" s="2">
        <v>18</v>
      </c>
      <c r="G68" s="2">
        <v>82154976</v>
      </c>
      <c r="H68" s="2">
        <v>11</v>
      </c>
      <c r="I68" s="2" t="s">
        <v>256</v>
      </c>
      <c r="J68" s="2" t="s">
        <v>215</v>
      </c>
      <c r="K68" s="3">
        <v>120000</v>
      </c>
      <c r="L68" s="2">
        <v>2</v>
      </c>
      <c r="M68" s="14" t="str">
        <f t="shared" si="1"/>
        <v>no</v>
      </c>
      <c r="N68" s="16">
        <v>45857</v>
      </c>
      <c r="O68" s="2" t="s">
        <v>240</v>
      </c>
      <c r="P68" s="2">
        <v>30000</v>
      </c>
    </row>
    <row r="69" spans="1:16" x14ac:dyDescent="0.3">
      <c r="A69" s="2">
        <v>68</v>
      </c>
      <c r="B69" s="2">
        <v>1049</v>
      </c>
      <c r="C69" s="2" t="s">
        <v>72</v>
      </c>
      <c r="D69" s="2" t="s">
        <v>104</v>
      </c>
      <c r="E69" s="2" t="s">
        <v>174</v>
      </c>
      <c r="F69" s="2">
        <v>21</v>
      </c>
      <c r="G69" s="2">
        <v>59736184</v>
      </c>
      <c r="H69" s="2">
        <v>13</v>
      </c>
      <c r="I69" s="2" t="s">
        <v>259</v>
      </c>
      <c r="J69" s="2" t="s">
        <v>216</v>
      </c>
      <c r="K69" s="3">
        <v>115000</v>
      </c>
      <c r="L69" s="2">
        <v>0</v>
      </c>
      <c r="M69" s="14" t="str">
        <f t="shared" si="1"/>
        <v>yes</v>
      </c>
      <c r="N69" s="16">
        <v>45857</v>
      </c>
      <c r="O69" s="2" t="s">
        <v>241</v>
      </c>
      <c r="P69" s="2">
        <v>0</v>
      </c>
    </row>
    <row r="70" spans="1:16" x14ac:dyDescent="0.3">
      <c r="A70" s="2">
        <v>69</v>
      </c>
      <c r="B70" s="2">
        <v>1046</v>
      </c>
      <c r="C70" s="2" t="s">
        <v>73</v>
      </c>
      <c r="D70" s="2" t="s">
        <v>104</v>
      </c>
      <c r="E70" s="2" t="s">
        <v>175</v>
      </c>
      <c r="F70" s="2">
        <v>23</v>
      </c>
      <c r="G70" s="2">
        <v>13278495</v>
      </c>
      <c r="H70" s="2">
        <v>14</v>
      </c>
      <c r="I70" s="2" t="s">
        <v>258</v>
      </c>
      <c r="J70" s="2" t="s">
        <v>217</v>
      </c>
      <c r="K70" s="3">
        <v>118000</v>
      </c>
      <c r="L70" s="2">
        <v>3</v>
      </c>
      <c r="M70" s="14" t="str">
        <f t="shared" si="1"/>
        <v>no</v>
      </c>
      <c r="N70" s="16">
        <v>45858</v>
      </c>
      <c r="O70" s="2" t="s">
        <v>240</v>
      </c>
      <c r="P70" s="2">
        <v>25000</v>
      </c>
    </row>
    <row r="71" spans="1:16" x14ac:dyDescent="0.3">
      <c r="A71" s="2">
        <v>70</v>
      </c>
      <c r="B71" s="2">
        <v>1045</v>
      </c>
      <c r="C71" s="2" t="s">
        <v>74</v>
      </c>
      <c r="D71" s="2" t="s">
        <v>104</v>
      </c>
      <c r="E71" s="2" t="s">
        <v>176</v>
      </c>
      <c r="F71" s="2">
        <v>18</v>
      </c>
      <c r="G71" s="2">
        <v>76481925</v>
      </c>
      <c r="H71" s="2">
        <v>15</v>
      </c>
      <c r="I71" s="2" t="s">
        <v>260</v>
      </c>
      <c r="J71" s="2" t="s">
        <v>218</v>
      </c>
      <c r="K71" s="3">
        <v>105000</v>
      </c>
      <c r="L71" s="2">
        <v>3</v>
      </c>
      <c r="M71" s="14" t="str">
        <f t="shared" si="1"/>
        <v>no</v>
      </c>
      <c r="N71" s="16">
        <v>45858</v>
      </c>
      <c r="O71" s="2" t="s">
        <v>240</v>
      </c>
      <c r="P71" s="2">
        <v>20000</v>
      </c>
    </row>
    <row r="72" spans="1:16" x14ac:dyDescent="0.3">
      <c r="A72" s="2">
        <v>71</v>
      </c>
      <c r="B72" s="2">
        <v>1033</v>
      </c>
      <c r="C72" s="2" t="s">
        <v>75</v>
      </c>
      <c r="D72" s="2" t="s">
        <v>104</v>
      </c>
      <c r="E72" s="2" t="s">
        <v>177</v>
      </c>
      <c r="F72" s="2">
        <v>22</v>
      </c>
      <c r="G72" s="2">
        <v>28954371</v>
      </c>
      <c r="H72" s="2">
        <v>13</v>
      </c>
      <c r="I72" s="2" t="s">
        <v>251</v>
      </c>
      <c r="J72" s="2" t="s">
        <v>219</v>
      </c>
      <c r="K72" s="3">
        <v>130000</v>
      </c>
      <c r="L72" s="2">
        <v>3</v>
      </c>
      <c r="M72" s="14" t="str">
        <f t="shared" si="1"/>
        <v>no</v>
      </c>
      <c r="N72" s="16">
        <v>45859</v>
      </c>
      <c r="O72" s="2" t="s">
        <v>240</v>
      </c>
      <c r="P72" s="2">
        <v>35000</v>
      </c>
    </row>
    <row r="73" spans="1:16" x14ac:dyDescent="0.3">
      <c r="A73" s="2">
        <v>72</v>
      </c>
      <c r="B73" s="2">
        <v>1051</v>
      </c>
      <c r="C73" s="2" t="s">
        <v>76</v>
      </c>
      <c r="D73" s="2" t="s">
        <v>104</v>
      </c>
      <c r="E73" s="2" t="s">
        <v>178</v>
      </c>
      <c r="F73" s="2">
        <v>22</v>
      </c>
      <c r="G73" s="2">
        <v>91567248</v>
      </c>
      <c r="H73" s="2">
        <v>13</v>
      </c>
      <c r="I73" s="2" t="s">
        <v>252</v>
      </c>
      <c r="J73" s="2" t="s">
        <v>220</v>
      </c>
      <c r="K73" s="3">
        <v>135000</v>
      </c>
      <c r="L73" s="2">
        <v>2</v>
      </c>
      <c r="M73" s="14" t="str">
        <f t="shared" si="1"/>
        <v>no</v>
      </c>
      <c r="N73" s="16">
        <v>45859</v>
      </c>
      <c r="O73" s="2" t="s">
        <v>240</v>
      </c>
      <c r="P73" s="2">
        <v>35000</v>
      </c>
    </row>
    <row r="74" spans="1:16" x14ac:dyDescent="0.3">
      <c r="A74" s="2">
        <v>73</v>
      </c>
      <c r="B74" s="2">
        <v>1027</v>
      </c>
      <c r="C74" s="2" t="s">
        <v>77</v>
      </c>
      <c r="D74" s="2" t="s">
        <v>104</v>
      </c>
      <c r="E74" s="2" t="s">
        <v>179</v>
      </c>
      <c r="F74" s="2">
        <v>25</v>
      </c>
      <c r="G74" s="2">
        <v>34625819</v>
      </c>
      <c r="H74" s="2">
        <v>11</v>
      </c>
      <c r="I74" s="2" t="s">
        <v>255</v>
      </c>
      <c r="J74" s="2" t="s">
        <v>221</v>
      </c>
      <c r="K74" s="3">
        <v>125000</v>
      </c>
      <c r="L74" s="2">
        <v>2</v>
      </c>
      <c r="M74" s="14" t="str">
        <f t="shared" si="1"/>
        <v>no</v>
      </c>
      <c r="N74" s="16">
        <v>45860</v>
      </c>
      <c r="O74" s="2" t="s">
        <v>240</v>
      </c>
      <c r="P74" s="2">
        <v>30000</v>
      </c>
    </row>
    <row r="75" spans="1:16" x14ac:dyDescent="0.3">
      <c r="A75" s="2">
        <v>74</v>
      </c>
      <c r="B75" s="2">
        <v>1099</v>
      </c>
      <c r="C75" s="2" t="s">
        <v>78</v>
      </c>
      <c r="D75" s="2" t="s">
        <v>104</v>
      </c>
      <c r="E75" s="2" t="s">
        <v>180</v>
      </c>
      <c r="F75" s="2">
        <v>19</v>
      </c>
      <c r="G75" s="2">
        <v>87193462</v>
      </c>
      <c r="H75" s="2">
        <v>14</v>
      </c>
      <c r="I75" s="2" t="s">
        <v>253</v>
      </c>
      <c r="J75" s="2" t="s">
        <v>229</v>
      </c>
      <c r="K75" s="3">
        <v>115000</v>
      </c>
      <c r="L75" s="2">
        <v>2</v>
      </c>
      <c r="M75" s="14" t="str">
        <f t="shared" si="1"/>
        <v>no</v>
      </c>
      <c r="N75" s="16">
        <v>45860</v>
      </c>
      <c r="O75" s="2" t="s">
        <v>240</v>
      </c>
      <c r="P75" s="2">
        <v>25000</v>
      </c>
    </row>
    <row r="76" spans="1:16" x14ac:dyDescent="0.3">
      <c r="A76" s="2">
        <v>75</v>
      </c>
      <c r="B76" s="2">
        <v>1087</v>
      </c>
      <c r="C76" s="2" t="s">
        <v>79</v>
      </c>
      <c r="D76" s="2" t="s">
        <v>104</v>
      </c>
      <c r="E76" s="2" t="s">
        <v>181</v>
      </c>
      <c r="F76" s="2">
        <v>21</v>
      </c>
      <c r="G76" s="2">
        <v>52418697</v>
      </c>
      <c r="H76" s="2">
        <v>12</v>
      </c>
      <c r="I76" s="2" t="s">
        <v>254</v>
      </c>
      <c r="J76" s="2" t="s">
        <v>230</v>
      </c>
      <c r="K76" s="3">
        <v>120000</v>
      </c>
      <c r="L76" s="2">
        <v>0</v>
      </c>
      <c r="M76" s="14" t="str">
        <f t="shared" si="1"/>
        <v>yes</v>
      </c>
      <c r="N76" s="16">
        <v>45861</v>
      </c>
      <c r="O76" s="2" t="s">
        <v>240</v>
      </c>
      <c r="P76" s="2">
        <v>20000</v>
      </c>
    </row>
    <row r="77" spans="1:16" x14ac:dyDescent="0.3">
      <c r="A77" s="2">
        <v>76</v>
      </c>
      <c r="B77" s="2">
        <v>1002</v>
      </c>
      <c r="C77" s="2" t="s">
        <v>80</v>
      </c>
      <c r="D77" s="2" t="s">
        <v>104</v>
      </c>
      <c r="E77" s="2" t="s">
        <v>182</v>
      </c>
      <c r="F77" s="2">
        <v>23</v>
      </c>
      <c r="G77" s="2">
        <v>78361945</v>
      </c>
      <c r="H77" s="2">
        <v>13</v>
      </c>
      <c r="I77" s="2" t="s">
        <v>257</v>
      </c>
      <c r="J77" s="2" t="s">
        <v>222</v>
      </c>
      <c r="K77" s="3">
        <v>80000</v>
      </c>
      <c r="L77" s="2">
        <v>0</v>
      </c>
      <c r="M77" s="14" t="str">
        <f t="shared" si="1"/>
        <v>yes</v>
      </c>
      <c r="N77" s="16">
        <v>45861</v>
      </c>
      <c r="O77" s="2" t="s">
        <v>241</v>
      </c>
      <c r="P77" s="2">
        <v>0</v>
      </c>
    </row>
    <row r="78" spans="1:16" x14ac:dyDescent="0.3">
      <c r="A78" s="2">
        <v>77</v>
      </c>
      <c r="B78" s="2">
        <v>1058</v>
      </c>
      <c r="C78" s="2" t="s">
        <v>81</v>
      </c>
      <c r="D78" s="2" t="s">
        <v>104</v>
      </c>
      <c r="E78" s="2" t="s">
        <v>183</v>
      </c>
      <c r="F78" s="2">
        <v>23</v>
      </c>
      <c r="G78" s="2">
        <v>16849523</v>
      </c>
      <c r="H78" s="2">
        <v>13</v>
      </c>
      <c r="I78" s="2" t="s">
        <v>258</v>
      </c>
      <c r="J78" s="2" t="s">
        <v>215</v>
      </c>
      <c r="K78" s="3">
        <v>120000</v>
      </c>
      <c r="L78" s="2">
        <v>2</v>
      </c>
      <c r="M78" s="14" t="str">
        <f t="shared" si="1"/>
        <v>no</v>
      </c>
      <c r="N78" s="16">
        <v>45862</v>
      </c>
      <c r="O78" s="2" t="s">
        <v>240</v>
      </c>
      <c r="P78" s="2">
        <v>30000</v>
      </c>
    </row>
    <row r="79" spans="1:16" x14ac:dyDescent="0.3">
      <c r="A79" s="2">
        <v>78</v>
      </c>
      <c r="B79" s="2">
        <v>1013</v>
      </c>
      <c r="C79" s="2" t="s">
        <v>82</v>
      </c>
      <c r="D79" s="2" t="s">
        <v>104</v>
      </c>
      <c r="E79" s="2" t="s">
        <v>184</v>
      </c>
      <c r="F79" s="2">
        <v>23</v>
      </c>
      <c r="G79" s="2">
        <v>95273481</v>
      </c>
      <c r="H79" s="2">
        <v>15</v>
      </c>
      <c r="I79" s="2" t="s">
        <v>259</v>
      </c>
      <c r="J79" s="2" t="s">
        <v>216</v>
      </c>
      <c r="K79" s="3">
        <v>115000</v>
      </c>
      <c r="L79" s="2">
        <v>2</v>
      </c>
      <c r="M79" s="14" t="str">
        <f t="shared" si="1"/>
        <v>no</v>
      </c>
      <c r="N79" s="16">
        <v>45862</v>
      </c>
      <c r="O79" s="2" t="s">
        <v>240</v>
      </c>
      <c r="P79" s="2">
        <v>0</v>
      </c>
    </row>
    <row r="80" spans="1:16" x14ac:dyDescent="0.3">
      <c r="A80" s="2">
        <v>79</v>
      </c>
      <c r="B80" s="2">
        <v>1037</v>
      </c>
      <c r="C80" s="2" t="s">
        <v>83</v>
      </c>
      <c r="D80" s="2" t="s">
        <v>104</v>
      </c>
      <c r="E80" s="2" t="s">
        <v>185</v>
      </c>
      <c r="F80" s="2">
        <v>24</v>
      </c>
      <c r="G80" s="2">
        <v>43781526</v>
      </c>
      <c r="H80" s="2">
        <v>14</v>
      </c>
      <c r="I80" s="2" t="s">
        <v>256</v>
      </c>
      <c r="J80" s="2" t="s">
        <v>217</v>
      </c>
      <c r="K80" s="3">
        <v>118000</v>
      </c>
      <c r="L80" s="2">
        <v>3</v>
      </c>
      <c r="M80" s="14" t="str">
        <f t="shared" si="1"/>
        <v>no</v>
      </c>
      <c r="N80" s="16">
        <v>45863</v>
      </c>
      <c r="O80" s="2" t="s">
        <v>241</v>
      </c>
      <c r="P80" s="2">
        <v>25000</v>
      </c>
    </row>
    <row r="81" spans="1:16" x14ac:dyDescent="0.3">
      <c r="A81" s="2">
        <v>80</v>
      </c>
      <c r="B81" s="2">
        <v>1015</v>
      </c>
      <c r="C81" s="2" t="s">
        <v>84</v>
      </c>
      <c r="D81" s="2" t="s">
        <v>104</v>
      </c>
      <c r="E81" s="2" t="s">
        <v>186</v>
      </c>
      <c r="F81" s="2">
        <v>24</v>
      </c>
      <c r="G81" s="2">
        <v>69524178</v>
      </c>
      <c r="H81" s="2">
        <v>13</v>
      </c>
      <c r="I81" s="2" t="s">
        <v>260</v>
      </c>
      <c r="J81" s="2" t="s">
        <v>218</v>
      </c>
      <c r="K81" s="3">
        <v>105000</v>
      </c>
      <c r="L81" s="2">
        <v>2</v>
      </c>
      <c r="M81" s="14" t="str">
        <f t="shared" si="1"/>
        <v>no</v>
      </c>
      <c r="N81" s="16">
        <v>45863</v>
      </c>
      <c r="O81" s="2" t="s">
        <v>240</v>
      </c>
      <c r="P81" s="2">
        <v>20000</v>
      </c>
    </row>
    <row r="82" spans="1:16" x14ac:dyDescent="0.3">
      <c r="A82" s="2">
        <v>81</v>
      </c>
      <c r="B82" s="2">
        <v>1011</v>
      </c>
      <c r="C82" s="2" t="s">
        <v>85</v>
      </c>
      <c r="D82" s="2" t="s">
        <v>105</v>
      </c>
      <c r="E82" s="2" t="s">
        <v>187</v>
      </c>
      <c r="F82" s="2">
        <v>24</v>
      </c>
      <c r="G82" s="2">
        <v>21457893</v>
      </c>
      <c r="H82" s="2">
        <v>14</v>
      </c>
      <c r="I82" s="2" t="s">
        <v>252</v>
      </c>
      <c r="J82" s="2" t="s">
        <v>219</v>
      </c>
      <c r="K82" s="3">
        <v>130000</v>
      </c>
      <c r="L82" s="2">
        <v>2</v>
      </c>
      <c r="M82" s="14" t="str">
        <f t="shared" si="1"/>
        <v>no</v>
      </c>
      <c r="N82" s="16">
        <v>45864</v>
      </c>
      <c r="O82" s="2" t="s">
        <v>240</v>
      </c>
      <c r="P82" s="2">
        <v>35000</v>
      </c>
    </row>
    <row r="83" spans="1:16" x14ac:dyDescent="0.3">
      <c r="A83" s="2">
        <v>82</v>
      </c>
      <c r="B83" s="2">
        <v>1079</v>
      </c>
      <c r="C83" s="2" t="s">
        <v>207</v>
      </c>
      <c r="D83" s="2" t="s">
        <v>105</v>
      </c>
      <c r="E83" s="2" t="s">
        <v>188</v>
      </c>
      <c r="F83" s="2">
        <v>22</v>
      </c>
      <c r="G83" s="2">
        <v>87615249</v>
      </c>
      <c r="H83" s="2">
        <v>15</v>
      </c>
      <c r="I83" s="2" t="s">
        <v>251</v>
      </c>
      <c r="J83" s="2" t="s">
        <v>220</v>
      </c>
      <c r="K83" s="3">
        <v>135000</v>
      </c>
      <c r="L83" s="2">
        <v>2</v>
      </c>
      <c r="M83" s="14" t="str">
        <f t="shared" si="1"/>
        <v>no</v>
      </c>
      <c r="N83" s="16">
        <v>45864</v>
      </c>
      <c r="O83" s="2" t="s">
        <v>240</v>
      </c>
      <c r="P83" s="2">
        <v>35000</v>
      </c>
    </row>
    <row r="84" spans="1:16" x14ac:dyDescent="0.3">
      <c r="A84" s="2">
        <v>83</v>
      </c>
      <c r="B84" s="2">
        <v>1001</v>
      </c>
      <c r="C84" s="2" t="s">
        <v>208</v>
      </c>
      <c r="D84" s="2" t="s">
        <v>105</v>
      </c>
      <c r="E84" s="2" t="s">
        <v>189</v>
      </c>
      <c r="F84" s="2">
        <v>18</v>
      </c>
      <c r="G84" s="2">
        <v>35192768</v>
      </c>
      <c r="H84" s="2">
        <v>11</v>
      </c>
      <c r="I84" s="2" t="s">
        <v>253</v>
      </c>
      <c r="J84" s="2" t="s">
        <v>221</v>
      </c>
      <c r="K84" s="3">
        <v>125000</v>
      </c>
      <c r="L84" s="2">
        <v>3</v>
      </c>
      <c r="M84" s="14" t="str">
        <f t="shared" si="1"/>
        <v>no</v>
      </c>
      <c r="N84" s="16">
        <v>45865</v>
      </c>
      <c r="O84" s="2" t="s">
        <v>240</v>
      </c>
      <c r="P84" s="2">
        <v>30000</v>
      </c>
    </row>
    <row r="85" spans="1:16" x14ac:dyDescent="0.3">
      <c r="A85" s="2">
        <v>84</v>
      </c>
      <c r="B85" s="2">
        <v>1031</v>
      </c>
      <c r="C85" s="2" t="s">
        <v>86</v>
      </c>
      <c r="D85" s="2" t="s">
        <v>105</v>
      </c>
      <c r="E85" s="2" t="s">
        <v>190</v>
      </c>
      <c r="F85" s="2">
        <v>19</v>
      </c>
      <c r="G85" s="2">
        <v>74831695</v>
      </c>
      <c r="H85" s="2">
        <v>13</v>
      </c>
      <c r="I85" s="2" t="s">
        <v>255</v>
      </c>
      <c r="J85" s="2" t="s">
        <v>229</v>
      </c>
      <c r="K85" s="3">
        <v>115000</v>
      </c>
      <c r="L85" s="2">
        <v>3</v>
      </c>
      <c r="M85" s="14" t="str">
        <f t="shared" si="1"/>
        <v>no</v>
      </c>
      <c r="N85" s="16">
        <v>45865</v>
      </c>
      <c r="O85" s="2" t="s">
        <v>240</v>
      </c>
      <c r="P85" s="2">
        <v>25000</v>
      </c>
    </row>
    <row r="86" spans="1:16" x14ac:dyDescent="0.3">
      <c r="A86" s="2">
        <v>85</v>
      </c>
      <c r="B86" s="2">
        <v>1057</v>
      </c>
      <c r="C86" s="2" t="s">
        <v>87</v>
      </c>
      <c r="D86" s="2" t="s">
        <v>105</v>
      </c>
      <c r="E86" s="2" t="s">
        <v>191</v>
      </c>
      <c r="F86" s="2">
        <v>18</v>
      </c>
      <c r="G86" s="2">
        <v>52968417</v>
      </c>
      <c r="H86" s="2">
        <v>14</v>
      </c>
      <c r="I86" s="2" t="s">
        <v>254</v>
      </c>
      <c r="J86" s="2" t="s">
        <v>230</v>
      </c>
      <c r="K86" s="3">
        <v>120000</v>
      </c>
      <c r="L86" s="2">
        <v>3</v>
      </c>
      <c r="M86" s="14" t="str">
        <f t="shared" si="1"/>
        <v>no</v>
      </c>
      <c r="N86" s="16">
        <v>45866</v>
      </c>
      <c r="O86" s="2" t="s">
        <v>240</v>
      </c>
      <c r="P86" s="2">
        <v>20000</v>
      </c>
    </row>
    <row r="87" spans="1:16" x14ac:dyDescent="0.3">
      <c r="A87" s="2">
        <v>86</v>
      </c>
      <c r="B87" s="2">
        <v>1076</v>
      </c>
      <c r="C87" s="2" t="s">
        <v>88</v>
      </c>
      <c r="D87" s="2" t="s">
        <v>104</v>
      </c>
      <c r="E87" s="2" t="s">
        <v>192</v>
      </c>
      <c r="F87" s="2">
        <v>19</v>
      </c>
      <c r="G87" s="2">
        <v>18374652</v>
      </c>
      <c r="H87" s="2">
        <v>12</v>
      </c>
      <c r="I87" s="2" t="s">
        <v>257</v>
      </c>
      <c r="J87" s="2" t="s">
        <v>222</v>
      </c>
      <c r="K87" s="3">
        <v>80000</v>
      </c>
      <c r="L87" s="2">
        <v>0</v>
      </c>
      <c r="M87" s="14" t="str">
        <f t="shared" si="1"/>
        <v>yes</v>
      </c>
      <c r="N87" s="16">
        <v>45866</v>
      </c>
      <c r="O87" s="2" t="s">
        <v>240</v>
      </c>
      <c r="P87" s="2">
        <v>0</v>
      </c>
    </row>
    <row r="88" spans="1:16" x14ac:dyDescent="0.3">
      <c r="A88" s="2">
        <v>87</v>
      </c>
      <c r="B88" s="2">
        <v>1063</v>
      </c>
      <c r="C88" s="2" t="s">
        <v>89</v>
      </c>
      <c r="D88" s="2" t="s">
        <v>104</v>
      </c>
      <c r="E88" s="2" t="s">
        <v>193</v>
      </c>
      <c r="F88" s="2">
        <v>23</v>
      </c>
      <c r="G88" s="2">
        <v>96427185</v>
      </c>
      <c r="H88" s="2">
        <v>14</v>
      </c>
      <c r="I88" s="2" t="s">
        <v>259</v>
      </c>
      <c r="J88" s="2" t="s">
        <v>223</v>
      </c>
      <c r="K88" s="3">
        <v>90000</v>
      </c>
      <c r="L88" s="2">
        <v>3</v>
      </c>
      <c r="M88" s="14" t="str">
        <f t="shared" si="1"/>
        <v>no</v>
      </c>
      <c r="N88" s="16">
        <v>45867</v>
      </c>
      <c r="O88" s="2" t="s">
        <v>240</v>
      </c>
      <c r="P88" s="2">
        <v>0</v>
      </c>
    </row>
    <row r="89" spans="1:16" x14ac:dyDescent="0.3">
      <c r="A89" s="2">
        <v>88</v>
      </c>
      <c r="B89" s="2">
        <v>1071</v>
      </c>
      <c r="C89" s="2" t="s">
        <v>90</v>
      </c>
      <c r="D89" s="2" t="s">
        <v>104</v>
      </c>
      <c r="E89" s="2" t="s">
        <v>194</v>
      </c>
      <c r="F89" s="2">
        <v>22</v>
      </c>
      <c r="G89" s="2">
        <v>42759361</v>
      </c>
      <c r="H89" s="2">
        <v>14</v>
      </c>
      <c r="I89" s="2" t="s">
        <v>258</v>
      </c>
      <c r="J89" s="2" t="s">
        <v>212</v>
      </c>
      <c r="K89" s="3">
        <v>95000</v>
      </c>
      <c r="L89" s="2">
        <v>0</v>
      </c>
      <c r="M89" s="14" t="str">
        <f t="shared" si="1"/>
        <v>yes</v>
      </c>
      <c r="N89" s="16">
        <v>45867</v>
      </c>
      <c r="O89" s="2" t="s">
        <v>241</v>
      </c>
      <c r="P89" s="2">
        <v>20000</v>
      </c>
    </row>
    <row r="90" spans="1:16" x14ac:dyDescent="0.3">
      <c r="A90" s="2">
        <v>89</v>
      </c>
      <c r="B90" s="2">
        <v>1074</v>
      </c>
      <c r="C90" s="2" t="s">
        <v>91</v>
      </c>
      <c r="D90" s="2" t="s">
        <v>104</v>
      </c>
      <c r="E90" s="2" t="s">
        <v>195</v>
      </c>
      <c r="F90" s="2">
        <v>18</v>
      </c>
      <c r="G90" s="2">
        <v>81593472</v>
      </c>
      <c r="H90" s="2">
        <v>13</v>
      </c>
      <c r="I90" s="2" t="s">
        <v>256</v>
      </c>
      <c r="J90" s="2" t="s">
        <v>213</v>
      </c>
      <c r="K90" s="3">
        <v>110000</v>
      </c>
      <c r="L90" s="2">
        <v>2</v>
      </c>
      <c r="M90" s="14" t="str">
        <f t="shared" si="1"/>
        <v>no</v>
      </c>
      <c r="N90" s="16">
        <v>45868</v>
      </c>
      <c r="O90" s="2" t="s">
        <v>241</v>
      </c>
      <c r="P90" s="2">
        <v>25000</v>
      </c>
    </row>
    <row r="91" spans="1:16" x14ac:dyDescent="0.3">
      <c r="A91" s="2">
        <v>90</v>
      </c>
      <c r="B91" s="2">
        <v>1054</v>
      </c>
      <c r="C91" s="2" t="s">
        <v>92</v>
      </c>
      <c r="D91" s="2" t="s">
        <v>104</v>
      </c>
      <c r="E91" s="2" t="s">
        <v>196</v>
      </c>
      <c r="F91" s="2">
        <v>20</v>
      </c>
      <c r="G91" s="2">
        <v>67214839</v>
      </c>
      <c r="H91" s="2">
        <v>11</v>
      </c>
      <c r="I91" s="2" t="s">
        <v>260</v>
      </c>
      <c r="J91" s="2" t="s">
        <v>214</v>
      </c>
      <c r="K91" s="3">
        <v>85000</v>
      </c>
      <c r="L91" s="2">
        <v>2</v>
      </c>
      <c r="M91" s="14" t="str">
        <f t="shared" si="1"/>
        <v>no</v>
      </c>
      <c r="N91" s="16">
        <v>45868</v>
      </c>
      <c r="O91" s="2" t="s">
        <v>240</v>
      </c>
      <c r="P91" s="2">
        <v>0</v>
      </c>
    </row>
    <row r="92" spans="1:16" x14ac:dyDescent="0.3">
      <c r="A92" s="2">
        <v>91</v>
      </c>
      <c r="B92" s="2">
        <v>1072</v>
      </c>
      <c r="C92" s="2" t="s">
        <v>93</v>
      </c>
      <c r="D92" s="2" t="s">
        <v>104</v>
      </c>
      <c r="E92" s="2" t="s">
        <v>197</v>
      </c>
      <c r="F92" s="2">
        <v>24</v>
      </c>
      <c r="G92" s="2">
        <v>23951684</v>
      </c>
      <c r="H92" s="2">
        <v>12</v>
      </c>
      <c r="I92" s="2" t="s">
        <v>251</v>
      </c>
      <c r="J92" s="2" t="s">
        <v>215</v>
      </c>
      <c r="K92" s="3">
        <v>120000</v>
      </c>
      <c r="L92" s="2">
        <v>0</v>
      </c>
      <c r="M92" s="14" t="str">
        <f t="shared" si="1"/>
        <v>yes</v>
      </c>
      <c r="N92" s="16">
        <v>45869</v>
      </c>
      <c r="O92" s="2" t="s">
        <v>240</v>
      </c>
      <c r="P92" s="2">
        <v>30000</v>
      </c>
    </row>
    <row r="93" spans="1:16" x14ac:dyDescent="0.3">
      <c r="A93" s="2">
        <v>92</v>
      </c>
      <c r="B93" s="2">
        <v>1080</v>
      </c>
      <c r="C93" s="2" t="s">
        <v>94</v>
      </c>
      <c r="D93" s="2" t="s">
        <v>104</v>
      </c>
      <c r="E93" s="2" t="s">
        <v>198</v>
      </c>
      <c r="F93" s="2">
        <v>22</v>
      </c>
      <c r="G93" s="2">
        <v>78462513</v>
      </c>
      <c r="H93" s="2">
        <v>12</v>
      </c>
      <c r="I93" s="2" t="s">
        <v>252</v>
      </c>
      <c r="J93" s="2" t="s">
        <v>226</v>
      </c>
      <c r="K93" s="3">
        <v>70000</v>
      </c>
      <c r="L93" s="2">
        <v>0</v>
      </c>
      <c r="M93" s="14" t="str">
        <f t="shared" si="1"/>
        <v>yes</v>
      </c>
      <c r="N93" s="16">
        <v>45869</v>
      </c>
      <c r="O93" s="2" t="s">
        <v>241</v>
      </c>
      <c r="P93" s="2">
        <v>15000</v>
      </c>
    </row>
    <row r="94" spans="1:16" x14ac:dyDescent="0.3">
      <c r="A94" s="2">
        <v>93</v>
      </c>
      <c r="B94" s="2">
        <v>1077</v>
      </c>
      <c r="C94" s="2" t="s">
        <v>95</v>
      </c>
      <c r="D94" s="2" t="s">
        <v>104</v>
      </c>
      <c r="E94" s="2" t="s">
        <v>199</v>
      </c>
      <c r="F94" s="2">
        <v>19</v>
      </c>
      <c r="G94" s="2">
        <v>14685297</v>
      </c>
      <c r="H94" s="2">
        <v>15</v>
      </c>
      <c r="I94" s="2" t="s">
        <v>255</v>
      </c>
      <c r="J94" s="2" t="s">
        <v>217</v>
      </c>
      <c r="K94" s="3">
        <v>118000</v>
      </c>
      <c r="L94" s="2">
        <v>2</v>
      </c>
      <c r="M94" s="14" t="str">
        <f t="shared" si="1"/>
        <v>no</v>
      </c>
      <c r="N94" s="16">
        <v>45870</v>
      </c>
      <c r="O94" s="2" t="s">
        <v>240</v>
      </c>
      <c r="P94" s="2">
        <v>25000</v>
      </c>
    </row>
    <row r="95" spans="1:16" x14ac:dyDescent="0.3">
      <c r="A95" s="2">
        <v>94</v>
      </c>
      <c r="B95" s="2">
        <v>1029</v>
      </c>
      <c r="C95" s="2" t="s">
        <v>96</v>
      </c>
      <c r="D95" s="2" t="s">
        <v>104</v>
      </c>
      <c r="E95" s="2" t="s">
        <v>200</v>
      </c>
      <c r="F95" s="2">
        <v>21</v>
      </c>
      <c r="G95" s="2">
        <v>95876321</v>
      </c>
      <c r="H95" s="2">
        <v>12</v>
      </c>
      <c r="I95" s="2" t="s">
        <v>253</v>
      </c>
      <c r="J95" s="2" t="s">
        <v>218</v>
      </c>
      <c r="K95" s="3">
        <v>105000</v>
      </c>
      <c r="L95" s="2">
        <v>2</v>
      </c>
      <c r="M95" s="14" t="str">
        <f t="shared" si="1"/>
        <v>no</v>
      </c>
      <c r="N95" s="16">
        <v>45870</v>
      </c>
      <c r="O95" s="2" t="s">
        <v>240</v>
      </c>
      <c r="P95" s="2">
        <v>20000</v>
      </c>
    </row>
    <row r="96" spans="1:16" x14ac:dyDescent="0.3">
      <c r="A96" s="2">
        <v>95</v>
      </c>
      <c r="B96" s="2">
        <v>1014</v>
      </c>
      <c r="C96" s="2" t="s">
        <v>97</v>
      </c>
      <c r="D96" s="2" t="s">
        <v>104</v>
      </c>
      <c r="E96" s="2" t="s">
        <v>201</v>
      </c>
      <c r="F96" s="2">
        <v>18</v>
      </c>
      <c r="G96" s="2">
        <v>38149756</v>
      </c>
      <c r="H96" s="2">
        <v>11</v>
      </c>
      <c r="I96" s="2" t="s">
        <v>254</v>
      </c>
      <c r="J96" s="2" t="s">
        <v>219</v>
      </c>
      <c r="K96" s="3">
        <v>130000</v>
      </c>
      <c r="L96" s="2">
        <v>2</v>
      </c>
      <c r="M96" s="14" t="str">
        <f t="shared" si="1"/>
        <v>no</v>
      </c>
      <c r="N96" s="16">
        <v>45871</v>
      </c>
      <c r="O96" s="2" t="s">
        <v>240</v>
      </c>
      <c r="P96" s="2">
        <v>35000</v>
      </c>
    </row>
    <row r="97" spans="1:16" x14ac:dyDescent="0.3">
      <c r="A97" s="2">
        <v>96</v>
      </c>
      <c r="B97" s="2">
        <v>1083</v>
      </c>
      <c r="C97" s="2" t="s">
        <v>98</v>
      </c>
      <c r="D97" s="2" t="s">
        <v>104</v>
      </c>
      <c r="E97" s="2" t="s">
        <v>202</v>
      </c>
      <c r="F97" s="2">
        <v>23</v>
      </c>
      <c r="G97" s="2">
        <v>62791548</v>
      </c>
      <c r="H97" s="2">
        <v>15</v>
      </c>
      <c r="I97" s="5" t="s">
        <v>251</v>
      </c>
      <c r="J97" s="2" t="s">
        <v>220</v>
      </c>
      <c r="K97" s="3">
        <v>135000</v>
      </c>
      <c r="L97" s="2">
        <v>0</v>
      </c>
      <c r="M97" s="14" t="str">
        <f t="shared" si="1"/>
        <v>yes</v>
      </c>
      <c r="N97" s="16">
        <v>45871</v>
      </c>
      <c r="O97" s="2" t="s">
        <v>240</v>
      </c>
      <c r="P97" s="2">
        <v>35000</v>
      </c>
    </row>
    <row r="98" spans="1:16" x14ac:dyDescent="0.3">
      <c r="A98" s="2">
        <v>97</v>
      </c>
      <c r="B98" s="2">
        <v>1066</v>
      </c>
      <c r="C98" s="2" t="s">
        <v>99</v>
      </c>
      <c r="D98" s="2" t="s">
        <v>104</v>
      </c>
      <c r="E98" s="2" t="s">
        <v>203</v>
      </c>
      <c r="F98" s="2">
        <v>21</v>
      </c>
      <c r="G98" s="2">
        <v>51328479</v>
      </c>
      <c r="H98" s="2">
        <v>13</v>
      </c>
      <c r="I98" s="2" t="s">
        <v>252</v>
      </c>
      <c r="J98" s="2" t="s">
        <v>221</v>
      </c>
      <c r="K98" s="3">
        <v>125000</v>
      </c>
      <c r="L98" s="2">
        <v>2</v>
      </c>
      <c r="M98" s="14" t="str">
        <f t="shared" si="1"/>
        <v>no</v>
      </c>
      <c r="N98" s="16">
        <v>45872</v>
      </c>
      <c r="O98" s="2" t="s">
        <v>240</v>
      </c>
      <c r="P98" s="2">
        <v>30000</v>
      </c>
    </row>
    <row r="99" spans="1:16" x14ac:dyDescent="0.3">
      <c r="A99" s="2">
        <v>98</v>
      </c>
      <c r="B99" s="2">
        <v>1065</v>
      </c>
      <c r="C99" s="2" t="s">
        <v>100</v>
      </c>
      <c r="D99" s="2" t="s">
        <v>104</v>
      </c>
      <c r="E99" s="2" t="s">
        <v>204</v>
      </c>
      <c r="F99" s="2">
        <v>19</v>
      </c>
      <c r="G99" s="2">
        <v>89416735</v>
      </c>
      <c r="H99" s="2">
        <v>12</v>
      </c>
      <c r="I99" s="2" t="s">
        <v>253</v>
      </c>
      <c r="J99" s="2" t="s">
        <v>229</v>
      </c>
      <c r="K99" s="3">
        <v>115000</v>
      </c>
      <c r="L99" s="2">
        <v>2</v>
      </c>
      <c r="M99" s="14" t="str">
        <f t="shared" si="1"/>
        <v>no</v>
      </c>
      <c r="N99" s="16">
        <v>45872</v>
      </c>
      <c r="O99" s="2" t="s">
        <v>240</v>
      </c>
      <c r="P99" s="2">
        <v>25000</v>
      </c>
    </row>
    <row r="100" spans="1:16" x14ac:dyDescent="0.3">
      <c r="A100" s="2">
        <v>99</v>
      </c>
      <c r="B100" s="2">
        <v>1041</v>
      </c>
      <c r="C100" s="2" t="s">
        <v>101</v>
      </c>
      <c r="D100" s="2" t="s">
        <v>105</v>
      </c>
      <c r="E100" s="2" t="s">
        <v>205</v>
      </c>
      <c r="F100" s="2">
        <v>23</v>
      </c>
      <c r="G100" s="2">
        <v>27563814</v>
      </c>
      <c r="H100" s="2">
        <v>12</v>
      </c>
      <c r="I100" s="2" t="s">
        <v>254</v>
      </c>
      <c r="J100" s="2" t="s">
        <v>230</v>
      </c>
      <c r="K100" s="3">
        <v>120000</v>
      </c>
      <c r="L100" s="2">
        <v>3</v>
      </c>
      <c r="M100" s="14" t="str">
        <f t="shared" si="1"/>
        <v>no</v>
      </c>
      <c r="N100" s="16">
        <v>45873</v>
      </c>
      <c r="O100" s="2" t="s">
        <v>240</v>
      </c>
      <c r="P100" s="2">
        <v>20000</v>
      </c>
    </row>
    <row r="101" spans="1:16" x14ac:dyDescent="0.3">
      <c r="A101" s="2">
        <v>100</v>
      </c>
      <c r="B101" s="2">
        <v>1016</v>
      </c>
      <c r="C101" s="2" t="s">
        <v>102</v>
      </c>
      <c r="D101" s="2" t="s">
        <v>105</v>
      </c>
      <c r="E101" s="2" t="s">
        <v>206</v>
      </c>
      <c r="F101" s="2">
        <v>23</v>
      </c>
      <c r="G101" s="2">
        <v>95876221</v>
      </c>
      <c r="H101" s="2">
        <v>11</v>
      </c>
      <c r="I101" s="2" t="s">
        <v>255</v>
      </c>
      <c r="J101" s="2" t="s">
        <v>222</v>
      </c>
      <c r="K101" s="3">
        <v>80000</v>
      </c>
      <c r="L101" s="2">
        <v>2</v>
      </c>
      <c r="M101" s="14" t="str">
        <f t="shared" si="1"/>
        <v>no</v>
      </c>
      <c r="N101" s="16">
        <v>45873</v>
      </c>
      <c r="O101" s="2" t="s">
        <v>240</v>
      </c>
      <c r="P101" s="2">
        <v>0</v>
      </c>
    </row>
    <row r="102" spans="1:16" x14ac:dyDescent="0.3">
      <c r="N102" s="12"/>
    </row>
    <row r="103" spans="1:16" x14ac:dyDescent="0.3">
      <c r="N103" s="12"/>
    </row>
  </sheetData>
  <autoFilter ref="A1:P101" xr:uid="{FFC8C2B0-3D21-494F-A276-D49ED100DCD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4C93-0BE1-4C6A-ABAF-22B62C56B83B}">
  <sheetPr>
    <tabColor theme="5"/>
  </sheetPr>
  <dimension ref="A1:M23"/>
  <sheetViews>
    <sheetView tabSelected="1" workbookViewId="0">
      <selection activeCell="AA15" sqref="AA15"/>
    </sheetView>
  </sheetViews>
  <sheetFormatPr defaultRowHeight="14.4" x14ac:dyDescent="0.3"/>
  <cols>
    <col min="1" max="1" width="26.44140625" bestFit="1" customWidth="1"/>
    <col min="2" max="2" width="9" bestFit="1" customWidth="1"/>
    <col min="3" max="5" width="12" bestFit="1" customWidth="1"/>
    <col min="7" max="7" width="26.44140625" bestFit="1" customWidth="1"/>
    <col min="8" max="8" width="9.6640625" customWidth="1"/>
    <col min="9" max="9" width="26.44140625" bestFit="1" customWidth="1"/>
    <col min="10" max="10" width="16.109375" bestFit="1" customWidth="1"/>
    <col min="11" max="11" width="9.77734375" customWidth="1"/>
    <col min="12" max="12" width="26.44140625" bestFit="1" customWidth="1"/>
    <col min="13" max="13" width="21" bestFit="1" customWidth="1"/>
    <col min="14" max="14" width="26.44140625" bestFit="1" customWidth="1"/>
    <col min="15" max="15" width="6.109375" bestFit="1" customWidth="1"/>
    <col min="16" max="16" width="9.109375" bestFit="1" customWidth="1"/>
    <col min="17" max="17" width="18.44140625" bestFit="1" customWidth="1"/>
    <col min="18" max="18" width="6.88671875" bestFit="1" customWidth="1"/>
    <col min="19" max="19" width="27.33203125" bestFit="1" customWidth="1"/>
    <col min="20" max="20" width="4" bestFit="1" customWidth="1"/>
    <col min="21" max="21" width="9" bestFit="1" customWidth="1"/>
    <col min="22" max="22" width="9.44140625" bestFit="1" customWidth="1"/>
    <col min="23" max="23" width="26.44140625" bestFit="1" customWidth="1"/>
    <col min="24" max="24" width="9.5546875" bestFit="1" customWidth="1"/>
    <col min="25" max="25" width="10" bestFit="1" customWidth="1"/>
    <col min="26" max="26" width="7.6640625" bestFit="1" customWidth="1"/>
    <col min="27" max="27" width="14.6640625" bestFit="1" customWidth="1"/>
    <col min="28" max="28" width="15.77734375" bestFit="1" customWidth="1"/>
    <col min="29" max="29" width="19.44140625" bestFit="1" customWidth="1"/>
  </cols>
  <sheetData>
    <row r="1" spans="1:13" ht="24" thickBot="1" x14ac:dyDescent="0.5">
      <c r="A1" s="42" t="s">
        <v>249</v>
      </c>
      <c r="B1" s="43"/>
      <c r="C1" s="43"/>
      <c r="D1" s="43"/>
      <c r="E1" s="44"/>
      <c r="G1" s="30" t="s">
        <v>244</v>
      </c>
      <c r="I1" s="45" t="s">
        <v>248</v>
      </c>
      <c r="J1" s="46"/>
      <c r="L1" s="47" t="s">
        <v>261</v>
      </c>
      <c r="M1" s="48"/>
    </row>
    <row r="2" spans="1:13" ht="18.600000000000001" thickBot="1" x14ac:dyDescent="0.4">
      <c r="A2" s="17" t="s">
        <v>236</v>
      </c>
      <c r="B2" s="18" t="s">
        <v>237</v>
      </c>
      <c r="C2" s="18" t="s">
        <v>262</v>
      </c>
      <c r="D2" s="18" t="s">
        <v>234</v>
      </c>
      <c r="E2" s="19" t="s">
        <v>235</v>
      </c>
      <c r="G2" s="31" t="s">
        <v>225</v>
      </c>
      <c r="I2" s="34" t="s">
        <v>245</v>
      </c>
      <c r="J2" s="34" t="s">
        <v>264</v>
      </c>
      <c r="L2" s="41" t="s">
        <v>246</v>
      </c>
      <c r="M2" s="41" t="s">
        <v>247</v>
      </c>
    </row>
    <row r="3" spans="1:13" x14ac:dyDescent="0.3">
      <c r="A3" s="21" t="s">
        <v>225</v>
      </c>
      <c r="B3" s="22">
        <v>75000</v>
      </c>
      <c r="C3" s="22">
        <f t="shared" ref="C3:C22" si="0">B3/3</f>
        <v>25000</v>
      </c>
      <c r="D3" s="22">
        <f t="shared" ref="D3:D22" si="1">B3/3</f>
        <v>25000</v>
      </c>
      <c r="E3" s="23">
        <f t="shared" ref="E3:E22" si="2">B3/3</f>
        <v>25000</v>
      </c>
      <c r="G3" s="32" t="s">
        <v>219</v>
      </c>
      <c r="I3" s="35" t="s">
        <v>225</v>
      </c>
      <c r="J3" s="38">
        <v>75000</v>
      </c>
      <c r="L3" s="35" t="s">
        <v>225</v>
      </c>
      <c r="M3" s="38">
        <v>0</v>
      </c>
    </row>
    <row r="4" spans="1:13" x14ac:dyDescent="0.3">
      <c r="A4" s="24" t="s">
        <v>219</v>
      </c>
      <c r="B4" s="20">
        <v>130000</v>
      </c>
      <c r="C4" s="20">
        <f t="shared" si="0"/>
        <v>43333.333333333336</v>
      </c>
      <c r="D4" s="20">
        <f t="shared" si="1"/>
        <v>43333.333333333336</v>
      </c>
      <c r="E4" s="25">
        <f t="shared" si="2"/>
        <v>43333.333333333336</v>
      </c>
      <c r="G4" s="32" t="s">
        <v>214</v>
      </c>
      <c r="I4" s="35" t="s">
        <v>219</v>
      </c>
      <c r="J4" s="38">
        <v>1430000</v>
      </c>
      <c r="L4" s="35" t="s">
        <v>219</v>
      </c>
      <c r="M4" s="38">
        <v>385000</v>
      </c>
    </row>
    <row r="5" spans="1:13" x14ac:dyDescent="0.3">
      <c r="A5" s="24" t="s">
        <v>214</v>
      </c>
      <c r="B5" s="20">
        <v>85000</v>
      </c>
      <c r="C5" s="20">
        <f t="shared" si="0"/>
        <v>28333.333333333332</v>
      </c>
      <c r="D5" s="20">
        <f t="shared" si="1"/>
        <v>28333.333333333332</v>
      </c>
      <c r="E5" s="25">
        <f t="shared" si="2"/>
        <v>28333.333333333332</v>
      </c>
      <c r="G5" s="32" t="s">
        <v>216</v>
      </c>
      <c r="I5" s="35" t="s">
        <v>214</v>
      </c>
      <c r="J5" s="38">
        <v>340000</v>
      </c>
      <c r="L5" s="35" t="s">
        <v>214</v>
      </c>
      <c r="M5" s="38">
        <v>0</v>
      </c>
    </row>
    <row r="6" spans="1:13" x14ac:dyDescent="0.3">
      <c r="A6" s="24" t="s">
        <v>216</v>
      </c>
      <c r="B6" s="20">
        <v>115000</v>
      </c>
      <c r="C6" s="20">
        <f t="shared" si="0"/>
        <v>38333.333333333336</v>
      </c>
      <c r="D6" s="20">
        <f t="shared" si="1"/>
        <v>38333.333333333336</v>
      </c>
      <c r="E6" s="25">
        <f t="shared" si="2"/>
        <v>38333.333333333336</v>
      </c>
      <c r="G6" s="32" t="s">
        <v>230</v>
      </c>
      <c r="I6" s="35" t="s">
        <v>216</v>
      </c>
      <c r="J6" s="38">
        <v>690000</v>
      </c>
      <c r="L6" s="35" t="s">
        <v>216</v>
      </c>
      <c r="M6" s="38">
        <v>0</v>
      </c>
    </row>
    <row r="7" spans="1:13" x14ac:dyDescent="0.3">
      <c r="A7" s="24" t="s">
        <v>230</v>
      </c>
      <c r="B7" s="20">
        <v>120000</v>
      </c>
      <c r="C7" s="20">
        <f t="shared" si="0"/>
        <v>40000</v>
      </c>
      <c r="D7" s="20">
        <f t="shared" si="1"/>
        <v>40000</v>
      </c>
      <c r="E7" s="25">
        <f t="shared" si="2"/>
        <v>40000</v>
      </c>
      <c r="G7" s="32" t="s">
        <v>213</v>
      </c>
      <c r="I7" s="35" t="s">
        <v>230</v>
      </c>
      <c r="J7" s="38">
        <v>600000</v>
      </c>
      <c r="L7" s="35" t="s">
        <v>230</v>
      </c>
      <c r="M7" s="38">
        <v>100000</v>
      </c>
    </row>
    <row r="8" spans="1:13" x14ac:dyDescent="0.3">
      <c r="A8" s="24" t="s">
        <v>213</v>
      </c>
      <c r="B8" s="20">
        <v>110000</v>
      </c>
      <c r="C8" s="20">
        <f t="shared" si="0"/>
        <v>36666.666666666664</v>
      </c>
      <c r="D8" s="20">
        <f t="shared" si="1"/>
        <v>36666.666666666664</v>
      </c>
      <c r="E8" s="25">
        <f t="shared" si="2"/>
        <v>36666.666666666664</v>
      </c>
      <c r="G8" s="32" t="s">
        <v>221</v>
      </c>
      <c r="I8" s="35" t="s">
        <v>213</v>
      </c>
      <c r="J8" s="38">
        <v>330000</v>
      </c>
      <c r="L8" s="35" t="s">
        <v>213</v>
      </c>
      <c r="M8" s="38">
        <v>75000</v>
      </c>
    </row>
    <row r="9" spans="1:13" x14ac:dyDescent="0.3">
      <c r="A9" s="24" t="s">
        <v>221</v>
      </c>
      <c r="B9" s="20">
        <v>125000</v>
      </c>
      <c r="C9" s="20">
        <f t="shared" si="0"/>
        <v>41666.666666666664</v>
      </c>
      <c r="D9" s="20">
        <f t="shared" si="1"/>
        <v>41666.666666666664</v>
      </c>
      <c r="E9" s="25">
        <f t="shared" si="2"/>
        <v>41666.666666666664</v>
      </c>
      <c r="G9" s="32" t="s">
        <v>212</v>
      </c>
      <c r="I9" s="35" t="s">
        <v>221</v>
      </c>
      <c r="J9" s="38">
        <v>1375000</v>
      </c>
      <c r="L9" s="35" t="s">
        <v>221</v>
      </c>
      <c r="M9" s="38">
        <v>330000</v>
      </c>
    </row>
    <row r="10" spans="1:13" x14ac:dyDescent="0.3">
      <c r="A10" s="24" t="s">
        <v>212</v>
      </c>
      <c r="B10" s="20">
        <v>95000</v>
      </c>
      <c r="C10" s="20">
        <f t="shared" si="0"/>
        <v>31666.666666666668</v>
      </c>
      <c r="D10" s="20">
        <f t="shared" si="1"/>
        <v>31666.666666666668</v>
      </c>
      <c r="E10" s="25">
        <f t="shared" si="2"/>
        <v>31666.666666666668</v>
      </c>
      <c r="G10" s="32" t="s">
        <v>222</v>
      </c>
      <c r="I10" s="35" t="s">
        <v>212</v>
      </c>
      <c r="J10" s="38">
        <v>285000</v>
      </c>
      <c r="L10" s="35" t="s">
        <v>212</v>
      </c>
      <c r="M10" s="38">
        <v>60000</v>
      </c>
    </row>
    <row r="11" spans="1:13" x14ac:dyDescent="0.3">
      <c r="A11" s="24" t="s">
        <v>222</v>
      </c>
      <c r="B11" s="20">
        <v>80000</v>
      </c>
      <c r="C11" s="20">
        <f t="shared" si="0"/>
        <v>26666.666666666668</v>
      </c>
      <c r="D11" s="20">
        <f t="shared" si="1"/>
        <v>26666.666666666668</v>
      </c>
      <c r="E11" s="25">
        <f t="shared" si="2"/>
        <v>26666.666666666668</v>
      </c>
      <c r="G11" s="32" t="s">
        <v>226</v>
      </c>
      <c r="I11" s="35" t="s">
        <v>222</v>
      </c>
      <c r="J11" s="38">
        <v>400000</v>
      </c>
      <c r="L11" s="35" t="s">
        <v>222</v>
      </c>
      <c r="M11" s="38">
        <v>0</v>
      </c>
    </row>
    <row r="12" spans="1:13" x14ac:dyDescent="0.3">
      <c r="A12" s="24" t="s">
        <v>226</v>
      </c>
      <c r="B12" s="20">
        <v>70000</v>
      </c>
      <c r="C12" s="20">
        <f t="shared" si="0"/>
        <v>23333.333333333332</v>
      </c>
      <c r="D12" s="20">
        <f t="shared" si="1"/>
        <v>23333.333333333332</v>
      </c>
      <c r="E12" s="25">
        <f t="shared" si="2"/>
        <v>23333.333333333332</v>
      </c>
      <c r="G12" s="32" t="s">
        <v>217</v>
      </c>
      <c r="I12" s="35" t="s">
        <v>226</v>
      </c>
      <c r="J12" s="38">
        <v>210000</v>
      </c>
      <c r="L12" s="35" t="s">
        <v>226</v>
      </c>
      <c r="M12" s="38">
        <v>45000</v>
      </c>
    </row>
    <row r="13" spans="1:13" x14ac:dyDescent="0.3">
      <c r="A13" s="24" t="s">
        <v>217</v>
      </c>
      <c r="B13" s="20">
        <v>118000</v>
      </c>
      <c r="C13" s="20">
        <f t="shared" si="0"/>
        <v>39333.333333333336</v>
      </c>
      <c r="D13" s="20">
        <f t="shared" si="1"/>
        <v>39333.333333333336</v>
      </c>
      <c r="E13" s="25">
        <f t="shared" si="2"/>
        <v>39333.333333333336</v>
      </c>
      <c r="G13" s="32" t="s">
        <v>223</v>
      </c>
      <c r="I13" s="35" t="s">
        <v>217</v>
      </c>
      <c r="J13" s="38">
        <v>826000</v>
      </c>
      <c r="L13" s="35" t="s">
        <v>217</v>
      </c>
      <c r="M13" s="38">
        <v>175000</v>
      </c>
    </row>
    <row r="14" spans="1:13" x14ac:dyDescent="0.3">
      <c r="A14" s="24" t="s">
        <v>223</v>
      </c>
      <c r="B14" s="20">
        <v>90000</v>
      </c>
      <c r="C14" s="20">
        <f t="shared" si="0"/>
        <v>30000</v>
      </c>
      <c r="D14" s="20">
        <f t="shared" si="1"/>
        <v>30000</v>
      </c>
      <c r="E14" s="25">
        <f t="shared" si="2"/>
        <v>30000</v>
      </c>
      <c r="G14" s="32" t="s">
        <v>228</v>
      </c>
      <c r="I14" s="35" t="s">
        <v>223</v>
      </c>
      <c r="J14" s="38">
        <v>270000</v>
      </c>
      <c r="L14" s="35" t="s">
        <v>223</v>
      </c>
      <c r="M14" s="38">
        <v>0</v>
      </c>
    </row>
    <row r="15" spans="1:13" x14ac:dyDescent="0.3">
      <c r="A15" s="24" t="s">
        <v>228</v>
      </c>
      <c r="B15" s="20">
        <v>88000</v>
      </c>
      <c r="C15" s="20">
        <f t="shared" si="0"/>
        <v>29333.333333333332</v>
      </c>
      <c r="D15" s="20">
        <f t="shared" si="1"/>
        <v>29333.333333333332</v>
      </c>
      <c r="E15" s="25">
        <f t="shared" si="2"/>
        <v>29333.333333333332</v>
      </c>
      <c r="G15" s="32" t="s">
        <v>231</v>
      </c>
      <c r="I15" s="35" t="s">
        <v>228</v>
      </c>
      <c r="J15" s="38">
        <v>88000</v>
      </c>
      <c r="L15" s="35" t="s">
        <v>228</v>
      </c>
      <c r="M15" s="38">
        <v>0</v>
      </c>
    </row>
    <row r="16" spans="1:13" x14ac:dyDescent="0.3">
      <c r="A16" s="24" t="s">
        <v>231</v>
      </c>
      <c r="B16" s="20">
        <v>98000</v>
      </c>
      <c r="C16" s="20">
        <f t="shared" si="0"/>
        <v>32666.666666666668</v>
      </c>
      <c r="D16" s="20">
        <f t="shared" si="1"/>
        <v>32666.666666666668</v>
      </c>
      <c r="E16" s="25">
        <f t="shared" si="2"/>
        <v>32666.666666666668</v>
      </c>
      <c r="G16" s="32" t="s">
        <v>224</v>
      </c>
      <c r="I16" s="35" t="s">
        <v>231</v>
      </c>
      <c r="J16" s="38">
        <v>98000</v>
      </c>
      <c r="L16" s="35" t="s">
        <v>231</v>
      </c>
      <c r="M16" s="38">
        <v>20000</v>
      </c>
    </row>
    <row r="17" spans="1:13" x14ac:dyDescent="0.3">
      <c r="A17" s="24" t="s">
        <v>224</v>
      </c>
      <c r="B17" s="20">
        <v>82000</v>
      </c>
      <c r="C17" s="20">
        <f t="shared" si="0"/>
        <v>27333.333333333332</v>
      </c>
      <c r="D17" s="20">
        <f t="shared" si="1"/>
        <v>27333.333333333332</v>
      </c>
      <c r="E17" s="25">
        <f t="shared" si="2"/>
        <v>27333.333333333332</v>
      </c>
      <c r="G17" s="32" t="s">
        <v>218</v>
      </c>
      <c r="I17" s="35" t="s">
        <v>224</v>
      </c>
      <c r="J17" s="38">
        <v>82000</v>
      </c>
      <c r="L17" s="35" t="s">
        <v>224</v>
      </c>
      <c r="M17" s="38">
        <v>15000</v>
      </c>
    </row>
    <row r="18" spans="1:13" x14ac:dyDescent="0.3">
      <c r="A18" s="24" t="s">
        <v>218</v>
      </c>
      <c r="B18" s="20">
        <v>105000</v>
      </c>
      <c r="C18" s="20">
        <f t="shared" si="0"/>
        <v>35000</v>
      </c>
      <c r="D18" s="20">
        <f t="shared" si="1"/>
        <v>35000</v>
      </c>
      <c r="E18" s="25">
        <f t="shared" si="2"/>
        <v>35000</v>
      </c>
      <c r="G18" s="32" t="s">
        <v>220</v>
      </c>
      <c r="I18" s="35" t="s">
        <v>218</v>
      </c>
      <c r="J18" s="38">
        <v>735000</v>
      </c>
      <c r="L18" s="35" t="s">
        <v>218</v>
      </c>
      <c r="M18" s="38">
        <v>140000</v>
      </c>
    </row>
    <row r="19" spans="1:13" x14ac:dyDescent="0.3">
      <c r="A19" s="24" t="s">
        <v>220</v>
      </c>
      <c r="B19" s="20">
        <v>135000</v>
      </c>
      <c r="C19" s="20">
        <f t="shared" si="0"/>
        <v>45000</v>
      </c>
      <c r="D19" s="20">
        <f t="shared" si="1"/>
        <v>45000</v>
      </c>
      <c r="E19" s="25">
        <f t="shared" si="2"/>
        <v>45000</v>
      </c>
      <c r="G19" s="32" t="s">
        <v>215</v>
      </c>
      <c r="I19" s="35" t="s">
        <v>220</v>
      </c>
      <c r="J19" s="38">
        <v>1485000</v>
      </c>
      <c r="L19" s="35" t="s">
        <v>220</v>
      </c>
      <c r="M19" s="38">
        <v>385000</v>
      </c>
    </row>
    <row r="20" spans="1:13" x14ac:dyDescent="0.3">
      <c r="A20" s="24" t="s">
        <v>215</v>
      </c>
      <c r="B20" s="20">
        <v>120000</v>
      </c>
      <c r="C20" s="20">
        <f t="shared" si="0"/>
        <v>40000</v>
      </c>
      <c r="D20" s="20">
        <f t="shared" si="1"/>
        <v>40000</v>
      </c>
      <c r="E20" s="25">
        <f t="shared" si="2"/>
        <v>40000</v>
      </c>
      <c r="G20" s="32" t="s">
        <v>227</v>
      </c>
      <c r="I20" s="35" t="s">
        <v>215</v>
      </c>
      <c r="J20" s="38">
        <v>720000</v>
      </c>
      <c r="L20" s="35" t="s">
        <v>215</v>
      </c>
      <c r="M20" s="38">
        <v>180000</v>
      </c>
    </row>
    <row r="21" spans="1:13" x14ac:dyDescent="0.3">
      <c r="A21" s="24" t="s">
        <v>227</v>
      </c>
      <c r="B21" s="20">
        <v>78000</v>
      </c>
      <c r="C21" s="20">
        <f t="shared" si="0"/>
        <v>26000</v>
      </c>
      <c r="D21" s="20">
        <f t="shared" si="1"/>
        <v>26000</v>
      </c>
      <c r="E21" s="25">
        <f t="shared" si="2"/>
        <v>26000</v>
      </c>
      <c r="G21" s="32" t="s">
        <v>229</v>
      </c>
      <c r="I21" s="35" t="s">
        <v>227</v>
      </c>
      <c r="J21" s="38">
        <v>78000</v>
      </c>
      <c r="L21" s="35" t="s">
        <v>227</v>
      </c>
      <c r="M21" s="38">
        <v>18000</v>
      </c>
    </row>
    <row r="22" spans="1:13" ht="15" thickBot="1" x14ac:dyDescent="0.35">
      <c r="A22" s="26" t="s">
        <v>229</v>
      </c>
      <c r="B22" s="27">
        <v>115000</v>
      </c>
      <c r="C22" s="27">
        <f t="shared" si="0"/>
        <v>38333.333333333336</v>
      </c>
      <c r="D22" s="27">
        <f t="shared" si="1"/>
        <v>38333.333333333336</v>
      </c>
      <c r="E22" s="28">
        <f t="shared" si="2"/>
        <v>38333.333333333336</v>
      </c>
      <c r="G22" s="33" t="s">
        <v>238</v>
      </c>
      <c r="I22" s="36" t="s">
        <v>229</v>
      </c>
      <c r="J22" s="38">
        <v>1150000</v>
      </c>
      <c r="L22" s="36" t="s">
        <v>229</v>
      </c>
      <c r="M22" s="38">
        <v>250000</v>
      </c>
    </row>
    <row r="23" spans="1:13" ht="15" thickBot="1" x14ac:dyDescent="0.35">
      <c r="G23" s="29" t="s">
        <v>239</v>
      </c>
      <c r="I23" s="40" t="s">
        <v>239</v>
      </c>
      <c r="J23" s="39">
        <v>11267000</v>
      </c>
      <c r="L23" s="37" t="s">
        <v>239</v>
      </c>
      <c r="M23" s="34">
        <v>2178000</v>
      </c>
    </row>
  </sheetData>
  <dataConsolidate/>
  <mergeCells count="3">
    <mergeCell ref="A1:E1"/>
    <mergeCell ref="I1:J1"/>
    <mergeCell ref="L1:M1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Detail</vt:lpstr>
      <vt:lpstr>short list of detail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PRAJAPATI</dc:creator>
  <cp:lastModifiedBy>KHUSHI PRAJAPATI</cp:lastModifiedBy>
  <dcterms:created xsi:type="dcterms:W3CDTF">2026-07-05T08:45:00Z</dcterms:created>
  <dcterms:modified xsi:type="dcterms:W3CDTF">2026-10-19T16:31:33Z</dcterms:modified>
</cp:coreProperties>
</file>