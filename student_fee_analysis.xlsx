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5E255DBD930522F9CFDA8C7A4C80C0B98D46C92A" xr6:coauthVersionLast="47" xr6:coauthVersionMax="47" xr10:uidLastSave="{00000000-0000-0000-0000-000000000000}"/>
  <bookViews>
    <workbookView xWindow="2652" yWindow="2652" windowWidth="17280" windowHeight="8880" tabRatio="500" xr2:uid="{00000000-000D-0000-FFFF-FFFF00000000}"/>
  </bookViews>
  <sheets>
    <sheet name="Dashboard" sheetId="1" r:id="rId1"/>
    <sheet name="Student Detail" sheetId="2" r:id="rId2"/>
    <sheet name="Summary" sheetId="3" r:id="rId3"/>
  </sheets>
  <definedNames>
    <definedName name="_xlnm._FilterDatabase" localSheetId="1" hidden="1">'Student Detail'!$A$1:$P$101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9" i="3" l="1"/>
  <c r="L28" i="3"/>
  <c r="L24" i="3"/>
  <c r="L23" i="3"/>
  <c r="E23" i="3"/>
  <c r="D23" i="3"/>
  <c r="F23" i="3" s="1"/>
  <c r="C23" i="3"/>
  <c r="I23" i="3" s="1"/>
  <c r="B23" i="3"/>
  <c r="E22" i="3"/>
  <c r="D22" i="3"/>
  <c r="F22" i="3" s="1"/>
  <c r="C22" i="3"/>
  <c r="I22" i="3" s="1"/>
  <c r="B22" i="3"/>
  <c r="E21" i="3"/>
  <c r="D21" i="3"/>
  <c r="F21" i="3" s="1"/>
  <c r="C21" i="3"/>
  <c r="H21" i="3" s="1"/>
  <c r="B21" i="3"/>
  <c r="H20" i="3"/>
  <c r="E20" i="3"/>
  <c r="F20" i="3" s="1"/>
  <c r="D20" i="3"/>
  <c r="C20" i="3"/>
  <c r="I20" i="3" s="1"/>
  <c r="B20" i="3"/>
  <c r="I19" i="3"/>
  <c r="H19" i="3"/>
  <c r="E19" i="3"/>
  <c r="F19" i="3" s="1"/>
  <c r="D19" i="3"/>
  <c r="C19" i="3"/>
  <c r="G19" i="3" s="1"/>
  <c r="B19" i="3"/>
  <c r="I18" i="3"/>
  <c r="H18" i="3"/>
  <c r="G18" i="3"/>
  <c r="E18" i="3"/>
  <c r="F18" i="3" s="1"/>
  <c r="D18" i="3"/>
  <c r="C18" i="3"/>
  <c r="B18" i="3"/>
  <c r="E17" i="3"/>
  <c r="D17" i="3"/>
  <c r="F17" i="3" s="1"/>
  <c r="C17" i="3"/>
  <c r="I17" i="3" s="1"/>
  <c r="B17" i="3"/>
  <c r="I16" i="3"/>
  <c r="F16" i="3"/>
  <c r="E16" i="3"/>
  <c r="D16" i="3"/>
  <c r="C16" i="3"/>
  <c r="H16" i="3" s="1"/>
  <c r="B16" i="3"/>
  <c r="I15" i="3"/>
  <c r="H15" i="3"/>
  <c r="G15" i="3"/>
  <c r="E15" i="3"/>
  <c r="F15" i="3" s="1"/>
  <c r="D15" i="3"/>
  <c r="C15" i="3"/>
  <c r="B15" i="3"/>
  <c r="E14" i="3"/>
  <c r="D14" i="3"/>
  <c r="F14" i="3" s="1"/>
  <c r="C14" i="3"/>
  <c r="G14" i="3" s="1"/>
  <c r="B14" i="3"/>
  <c r="L13" i="3"/>
  <c r="H13" i="3"/>
  <c r="E13" i="3"/>
  <c r="F13" i="3" s="1"/>
  <c r="D13" i="3"/>
  <c r="C13" i="3"/>
  <c r="I13" i="3" s="1"/>
  <c r="B13" i="3"/>
  <c r="L12" i="3"/>
  <c r="I12" i="3"/>
  <c r="H12" i="3"/>
  <c r="E12" i="3"/>
  <c r="F12" i="3" s="1"/>
  <c r="D12" i="3"/>
  <c r="C12" i="3"/>
  <c r="G12" i="3" s="1"/>
  <c r="B12" i="3"/>
  <c r="L11" i="3"/>
  <c r="I11" i="3"/>
  <c r="H11" i="3"/>
  <c r="G11" i="3"/>
  <c r="E11" i="3"/>
  <c r="F11" i="3" s="1"/>
  <c r="D11" i="3"/>
  <c r="C11" i="3"/>
  <c r="B11" i="3"/>
  <c r="L10" i="3"/>
  <c r="E10" i="3"/>
  <c r="D10" i="3"/>
  <c r="F10" i="3" s="1"/>
  <c r="C10" i="3"/>
  <c r="G10" i="3" s="1"/>
  <c r="B10" i="3"/>
  <c r="L9" i="3"/>
  <c r="H9" i="3"/>
  <c r="E9" i="3"/>
  <c r="F9" i="3" s="1"/>
  <c r="D9" i="3"/>
  <c r="C9" i="3"/>
  <c r="I9" i="3" s="1"/>
  <c r="B9" i="3"/>
  <c r="L8" i="3"/>
  <c r="I8" i="3"/>
  <c r="H8" i="3"/>
  <c r="E8" i="3"/>
  <c r="F8" i="3" s="1"/>
  <c r="D8" i="3"/>
  <c r="C8" i="3"/>
  <c r="G8" i="3" s="1"/>
  <c r="B8" i="3"/>
  <c r="L7" i="3"/>
  <c r="I7" i="3"/>
  <c r="H7" i="3"/>
  <c r="G7" i="3"/>
  <c r="E7" i="3"/>
  <c r="F7" i="3" s="1"/>
  <c r="D7" i="3"/>
  <c r="C7" i="3"/>
  <c r="B7" i="3"/>
  <c r="L6" i="3"/>
  <c r="E6" i="3"/>
  <c r="D6" i="3"/>
  <c r="F6" i="3" s="1"/>
  <c r="C6" i="3"/>
  <c r="G6" i="3" s="1"/>
  <c r="B6" i="3"/>
  <c r="L5" i="3"/>
  <c r="H5" i="3"/>
  <c r="E5" i="3"/>
  <c r="F5" i="3" s="1"/>
  <c r="D5" i="3"/>
  <c r="C5" i="3"/>
  <c r="I5" i="3" s="1"/>
  <c r="B5" i="3"/>
  <c r="L4" i="3"/>
  <c r="L14" i="3" s="1"/>
  <c r="I4" i="3"/>
  <c r="H4" i="3"/>
  <c r="E4" i="3"/>
  <c r="E24" i="3" s="1"/>
  <c r="D4" i="3"/>
  <c r="D24" i="3" s="1"/>
  <c r="E4" i="1" s="1"/>
  <c r="C4" i="3"/>
  <c r="G4" i="3" s="1"/>
  <c r="B4" i="3"/>
  <c r="B24" i="3" s="1"/>
  <c r="A4" i="1" s="1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18" i="3" s="1"/>
  <c r="M4" i="1" l="1"/>
  <c r="I4" i="1"/>
  <c r="H6" i="3"/>
  <c r="H10" i="3"/>
  <c r="H14" i="3"/>
  <c r="G17" i="3"/>
  <c r="I21" i="3"/>
  <c r="I6" i="3"/>
  <c r="I10" i="3"/>
  <c r="I14" i="3"/>
  <c r="H17" i="3"/>
  <c r="G5" i="3"/>
  <c r="G9" i="3"/>
  <c r="G13" i="3"/>
  <c r="G20" i="3"/>
  <c r="G23" i="3"/>
  <c r="H23" i="3"/>
  <c r="F4" i="3"/>
  <c r="F24" i="3" s="1"/>
  <c r="G16" i="3"/>
  <c r="G22" i="3"/>
  <c r="H22" i="3"/>
  <c r="L19" i="3"/>
  <c r="G21" i="3"/>
</calcChain>
</file>

<file path=xl/sharedStrings.xml><?xml version="1.0" encoding="utf-8"?>
<sst xmlns="http://schemas.openxmlformats.org/spreadsheetml/2006/main" count="682" uniqueCount="272">
  <si>
    <t>Student Fee and Scholarship Dashboard</t>
  </si>
  <si>
    <t>Total Students</t>
  </si>
  <si>
    <t>Total Fees (Rs)</t>
  </si>
  <si>
    <t>Total Scholarship (Rs)</t>
  </si>
  <si>
    <t>Scholarship % of Fees</t>
  </si>
  <si>
    <t>Sr no.</t>
  </si>
  <si>
    <t>Student ID</t>
  </si>
  <si>
    <t>Student Name</t>
  </si>
  <si>
    <t>Gender</t>
  </si>
  <si>
    <t>Email</t>
  </si>
  <si>
    <t>Age</t>
  </si>
  <si>
    <t>Phone</t>
  </si>
  <si>
    <t>Study Year</t>
  </si>
  <si>
    <t>Location</t>
  </si>
  <si>
    <t>Course</t>
  </si>
  <si>
    <t>Full Fees</t>
  </si>
  <si>
    <t>Installments</t>
  </si>
  <si>
    <t>Full Paid</t>
  </si>
  <si>
    <t>Admission Date</t>
  </si>
  <si>
    <t>Scholarship Status</t>
  </si>
  <si>
    <t>Scholarship Amount</t>
  </si>
  <si>
    <t>Aarav Sharma</t>
  </si>
  <si>
    <t>Male</t>
  </si>
  <si>
    <t>aarav.sharma@gmail.com</t>
  </si>
  <si>
    <t>Mumbai</t>
  </si>
  <si>
    <t>Data Analytics</t>
  </si>
  <si>
    <t>Yes</t>
  </si>
  <si>
    <t>Vihaan Patel</t>
  </si>
  <si>
    <t>vihaan.patel@gmail.com</t>
  </si>
  <si>
    <t>Pune</t>
  </si>
  <si>
    <t>Computer Science</t>
  </si>
  <si>
    <t>Aditya Verma</t>
  </si>
  <si>
    <t>aditya.verma@gmail.com</t>
  </si>
  <si>
    <t>Thane</t>
  </si>
  <si>
    <t>Business Administration</t>
  </si>
  <si>
    <t>No</t>
  </si>
  <si>
    <t>Arjun Singh</t>
  </si>
  <si>
    <t>arjun.singh@gmail.com</t>
  </si>
  <si>
    <t>Nashik</t>
  </si>
  <si>
    <t>Mechanical Engineering</t>
  </si>
  <si>
    <t>Rohan Mehta</t>
  </si>
  <si>
    <t>rohan.mehta@gmail.com</t>
  </si>
  <si>
    <t>Nagpur</t>
  </si>
  <si>
    <t>Civil Engineering</t>
  </si>
  <si>
    <t>Rahul Gupta</t>
  </si>
  <si>
    <t>rahul.gupta@gmail.com</t>
  </si>
  <si>
    <t>Aurangabad</t>
  </si>
  <si>
    <t>Electrical Engineering</t>
  </si>
  <si>
    <t>Karan Yadav</t>
  </si>
  <si>
    <t>karan.yadav@gmail.com</t>
  </si>
  <si>
    <t>Kolhapur</t>
  </si>
  <si>
    <t>Information Technology</t>
  </si>
  <si>
    <t>Aman Mishra</t>
  </si>
  <si>
    <t>aman.mishra@gmail.com</t>
  </si>
  <si>
    <t>Navi Mumbai</t>
  </si>
  <si>
    <t>Artificial Intelligence</t>
  </si>
  <si>
    <t>Vivek Tiwari</t>
  </si>
  <si>
    <t>vivek.tiwari@gmail.com</t>
  </si>
  <si>
    <t>Kalyan</t>
  </si>
  <si>
    <t>Machine Learning</t>
  </si>
  <si>
    <t>Siddharth Jain</t>
  </si>
  <si>
    <t>siddharth.jain@gmail.com</t>
  </si>
  <si>
    <t>Vasai</t>
  </si>
  <si>
    <t>Cyber Security</t>
  </si>
  <si>
    <t>Neha Sharma</t>
  </si>
  <si>
    <t>Female</t>
  </si>
  <si>
    <t>neha.sharma@gmail.com</t>
  </si>
  <si>
    <t>Software Engineering</t>
  </si>
  <si>
    <t>Priya Verma</t>
  </si>
  <si>
    <t>priya.verma@gmail.com</t>
  </si>
  <si>
    <t>Cloud Computing</t>
  </si>
  <si>
    <t>Ananya Singh</t>
  </si>
  <si>
    <t>ananya.singh@gmail.com</t>
  </si>
  <si>
    <t>Digital Marketing</t>
  </si>
  <si>
    <t>Sneha Patel</t>
  </si>
  <si>
    <t>sneha.patel@gmail.com</t>
  </si>
  <si>
    <t>Finance</t>
  </si>
  <si>
    <t>Pooja Gupta</t>
  </si>
  <si>
    <t>pooja.gupta@gmail.com</t>
  </si>
  <si>
    <t>Human Resource Management</t>
  </si>
  <si>
    <t>Riya Mehta</t>
  </si>
  <si>
    <t>riya.mehta@gmail.com</t>
  </si>
  <si>
    <t>Accounting</t>
  </si>
  <si>
    <t>Kavya Nair</t>
  </si>
  <si>
    <t>kavya.nair@gmail.com</t>
  </si>
  <si>
    <t>Economics</t>
  </si>
  <si>
    <t>Aditi Kulkarni</t>
  </si>
  <si>
    <t>aditi.kulkarni@gmail.com</t>
  </si>
  <si>
    <t>Psychology</t>
  </si>
  <si>
    <t>Simran Kaur</t>
  </si>
  <si>
    <t>simran.kaur@gmail.com</t>
  </si>
  <si>
    <t>Graphic Design</t>
  </si>
  <si>
    <t>Nisha Choudhary</t>
  </si>
  <si>
    <t>nisha.choudhary@gmail.com</t>
  </si>
  <si>
    <t>Hotel Management</t>
  </si>
  <si>
    <t>Aarav Verma</t>
  </si>
  <si>
    <t>aarav.verma@gmail.com</t>
  </si>
  <si>
    <t>Vihaan Sharma</t>
  </si>
  <si>
    <t>vihaan.sharma@gmail.com</t>
  </si>
  <si>
    <t>Arjun Patel</t>
  </si>
  <si>
    <t>arjun.patel@gmail.com</t>
  </si>
  <si>
    <t>Rohan Singh</t>
  </si>
  <si>
    <t>rohan.singh@gmail.com</t>
  </si>
  <si>
    <t>Rahul Mehta</t>
  </si>
  <si>
    <t>rahul.mehta@gmail.com</t>
  </si>
  <si>
    <t>Karan Gupta</t>
  </si>
  <si>
    <t>karan.gupta@gmail.com</t>
  </si>
  <si>
    <t>Aman Sharma</t>
  </si>
  <si>
    <t>aman.sharma@gmail.com</t>
  </si>
  <si>
    <t>Aditya Yadav</t>
  </si>
  <si>
    <t>aditya.yadav@gmail.com</t>
  </si>
  <si>
    <t>Vivek Patel</t>
  </si>
  <si>
    <t>vivek.patel@gmail.com</t>
  </si>
  <si>
    <t>Siddharth Mishra</t>
  </si>
  <si>
    <t>siddharth.mishra@gmail.com</t>
  </si>
  <si>
    <t>Ishaan Deshmukh</t>
  </si>
  <si>
    <t>ishaan.deshmukh@gmail.com</t>
  </si>
  <si>
    <t>Krish Malhotra</t>
  </si>
  <si>
    <t>krish.malhotra@gmail.com</t>
  </si>
  <si>
    <t>Dhruv Bansal</t>
  </si>
  <si>
    <t>dhruv.bansal@gmail.com</t>
  </si>
  <si>
    <t>Yash Agarwal</t>
  </si>
  <si>
    <t>yash.agarwal@gmail.com</t>
  </si>
  <si>
    <t>Manav Sinha</t>
  </si>
  <si>
    <t>manav.sinha@gmail.com</t>
  </si>
  <si>
    <t>Harsh Chauhan</t>
  </si>
  <si>
    <t>harsh.chauhan@gmail.com</t>
  </si>
  <si>
    <t>Akash Reddy</t>
  </si>
  <si>
    <t>akash.reddy@gmail.com</t>
  </si>
  <si>
    <t>Rohit Joshi</t>
  </si>
  <si>
    <t>rohit.joshi@gmail.com</t>
  </si>
  <si>
    <t>Mohit Saxena</t>
  </si>
  <si>
    <t>mohit.saxena@gmail.com</t>
  </si>
  <si>
    <t>Nitin Pandey</t>
  </si>
  <si>
    <t>nitin.pandey@gmail.com</t>
  </si>
  <si>
    <t>Tanvi Sharma</t>
  </si>
  <si>
    <t>tanvi.sharma@gmail.com</t>
  </si>
  <si>
    <t>Muskan Verma</t>
  </si>
  <si>
    <t>muskan.verma@gmail.com</t>
  </si>
  <si>
    <t>Sakshi Singh</t>
  </si>
  <si>
    <t>sakshi.singh@gmail.com</t>
  </si>
  <si>
    <t>Ishita Patel</t>
  </si>
  <si>
    <t>ishita.patel@gmail.com</t>
  </si>
  <si>
    <t>Kriti Gupta</t>
  </si>
  <si>
    <t>kriti.gupta@gmail.com</t>
  </si>
  <si>
    <t>Shreya Mehta</t>
  </si>
  <si>
    <t>shreya.mehta@gmail.com</t>
  </si>
  <si>
    <t>Anjali Nair</t>
  </si>
  <si>
    <t>anjali.nair@gmail.com</t>
  </si>
  <si>
    <t>Divya Kulkarni</t>
  </si>
  <si>
    <t>divya.kulkarni@gmail.com</t>
  </si>
  <si>
    <t>Meera Kapoor</t>
  </si>
  <si>
    <t>meera.kapoor@gmail.com</t>
  </si>
  <si>
    <t>Ritika Saini</t>
  </si>
  <si>
    <t>ritika.saini@gmail.com</t>
  </si>
  <si>
    <t>Aarohi Sharma</t>
  </si>
  <si>
    <t>aarohi.sharma@gmail.com</t>
  </si>
  <si>
    <t>Diya Verma</t>
  </si>
  <si>
    <t>diya.verma@gmail.com</t>
  </si>
  <si>
    <t>Nandini Singh</t>
  </si>
  <si>
    <t>nandini.singh@gmail.com</t>
  </si>
  <si>
    <t>Sanjana Patel</t>
  </si>
  <si>
    <t>sanjana.patel@gmail.com</t>
  </si>
  <si>
    <t>Bhavna Gupta</t>
  </si>
  <si>
    <t>bhavna.gupta@gmail.com</t>
  </si>
  <si>
    <t>Palak Mehta</t>
  </si>
  <si>
    <t>palak.mehta@gmail.com</t>
  </si>
  <si>
    <t>Vaishnavi Nair</t>
  </si>
  <si>
    <t>vaishnavi.nair@gmail.com</t>
  </si>
  <si>
    <t>Anushka Kulkarni</t>
  </si>
  <si>
    <t>anushka.kulkarni@gmail.com</t>
  </si>
  <si>
    <t>Radhika Kapoor</t>
  </si>
  <si>
    <t>radhika.kapoor@gmail.com</t>
  </si>
  <si>
    <t>Khushi Choudhary</t>
  </si>
  <si>
    <t>khushi.choudhary@gmail.com</t>
  </si>
  <si>
    <t>Aryan Sharma</t>
  </si>
  <si>
    <t>aryan.sharma@gmail.com</t>
  </si>
  <si>
    <t>Aryan Verma</t>
  </si>
  <si>
    <t>aryan.verma@gmail.com</t>
  </si>
  <si>
    <t>Aryan Patel</t>
  </si>
  <si>
    <t>aryan.patel@gmail.com</t>
  </si>
  <si>
    <t>Aryan Singh</t>
  </si>
  <si>
    <t>aryan.singh@gmail.com</t>
  </si>
  <si>
    <t>Aryan Gupta</t>
  </si>
  <si>
    <t>aryan.gupta@gmail.com</t>
  </si>
  <si>
    <t>Dev Sharma</t>
  </si>
  <si>
    <t>dev.sharma@gmail.com</t>
  </si>
  <si>
    <t>Dev Patel</t>
  </si>
  <si>
    <t>dev.patel@gmail.com</t>
  </si>
  <si>
    <t>Dev Verma</t>
  </si>
  <si>
    <t>dev.verma@gmail.com</t>
  </si>
  <si>
    <t>Dev Mishra</t>
  </si>
  <si>
    <t>dev.mishra@gmail.com</t>
  </si>
  <si>
    <t>Dev Yadav</t>
  </si>
  <si>
    <t>dev.yadav@gmail.com</t>
  </si>
  <si>
    <t>Lakshay Sharma</t>
  </si>
  <si>
    <t>lakshay.sharma@gmail.com</t>
  </si>
  <si>
    <t>Lakshay Gupta</t>
  </si>
  <si>
    <t>lakshay.gupta@gmail.com</t>
  </si>
  <si>
    <t>Laksh Verma</t>
  </si>
  <si>
    <t>laksh.verma@gmail.com</t>
  </si>
  <si>
    <t>Laksh Patel</t>
  </si>
  <si>
    <t>laksh.patel@gmail.com</t>
  </si>
  <si>
    <t>Laksh Singh</t>
  </si>
  <si>
    <t>laksh.singh@gmail.com</t>
  </si>
  <si>
    <t>Om Prakash Yadav</t>
  </si>
  <si>
    <t>omprakash.yadav@gmail.com</t>
  </si>
  <si>
    <t>Ravi Kumar Sharma</t>
  </si>
  <si>
    <t>ravikumar.sharma@gmail.com</t>
  </si>
  <si>
    <t>Sunil Kumar Gupta</t>
  </si>
  <si>
    <t>sunilkumar.gupta@gmail.com</t>
  </si>
  <si>
    <t>Deepak Kumar Singh</t>
  </si>
  <si>
    <t>deepakkumar.singh@gmail.com</t>
  </si>
  <si>
    <t>Rajesh Kumar Verma</t>
  </si>
  <si>
    <t>rajeshkumar.verma@gmail.com</t>
  </si>
  <si>
    <t>Suman Kumari</t>
  </si>
  <si>
    <t>suman.kumari@gmail.com</t>
  </si>
  <si>
    <t>Rekha Devi</t>
  </si>
  <si>
    <t>rekha.devi@gmail.com</t>
  </si>
  <si>
    <t>Anita Sharma</t>
  </si>
  <si>
    <t>anita.sharma@gmail.com</t>
  </si>
  <si>
    <t>Seema Verma</t>
  </si>
  <si>
    <t>seema.verma@gmail.com</t>
  </si>
  <si>
    <t>Jyoti Singh</t>
  </si>
  <si>
    <t>jyoti.singh@gmail.com</t>
  </si>
  <si>
    <t>Gaurav Sharma</t>
  </si>
  <si>
    <t>gaurav.sharma@gmail.com</t>
  </si>
  <si>
    <t>Gaurav Verma</t>
  </si>
  <si>
    <t>gaurav.verma@gmail.com</t>
  </si>
  <si>
    <t>Gaurav Patel</t>
  </si>
  <si>
    <t>gaurav.patel@gmail.com</t>
  </si>
  <si>
    <t>Gaurav Singh</t>
  </si>
  <si>
    <t>gaurav.singh@gmail.com</t>
  </si>
  <si>
    <t>Gaurav Gupta</t>
  </si>
  <si>
    <t>gaurav.gupta@gmail.com</t>
  </si>
  <si>
    <t>Nishant Tiwari</t>
  </si>
  <si>
    <t>nishant.tiwari@gmail.com</t>
  </si>
  <si>
    <t>Abhishek Dubey</t>
  </si>
  <si>
    <t>abhishek.dubey@gmail.com</t>
  </si>
  <si>
    <t>Prateek Srivastava</t>
  </si>
  <si>
    <t>prateek.srivastava@gmail.com</t>
  </si>
  <si>
    <t>Mayank Chaturvedi</t>
  </si>
  <si>
    <t>mayank.chaturvedi@gmail.com</t>
  </si>
  <si>
    <t>Chetan Rathore</t>
  </si>
  <si>
    <t>chetan.rathore@gmail.com</t>
  </si>
  <si>
    <t>Saurabh Tomar</t>
  </si>
  <si>
    <t>saurabh.tomar@gmail.com</t>
  </si>
  <si>
    <t>Hemant Solanki</t>
  </si>
  <si>
    <t>hemant.solanki@gmail.com</t>
  </si>
  <si>
    <t>Varun Bhardwaj</t>
  </si>
  <si>
    <t>varun.bhardwaj@gmail.com</t>
  </si>
  <si>
    <t>Nikita Arora</t>
  </si>
  <si>
    <t>nikita.arora@gmail.com</t>
  </si>
  <si>
    <t>Shruti Bhatia</t>
  </si>
  <si>
    <t>shruti.bhatia@gmail.com</t>
  </si>
  <si>
    <t>Course-wise Fee and Scholarship Summary</t>
  </si>
  <si>
    <t>Students by Location</t>
  </si>
  <si>
    <t>Students</t>
  </si>
  <si>
    <t>Full Fee per Student</t>
  </si>
  <si>
    <t>Total Fees</t>
  </si>
  <si>
    <t>Net Fees</t>
  </si>
  <si>
    <t>1st Installment</t>
  </si>
  <si>
    <t>2nd Installment</t>
  </si>
  <si>
    <t>3rd Installment</t>
  </si>
  <si>
    <t>Total</t>
  </si>
  <si>
    <t>Fee Payment Status</t>
  </si>
  <si>
    <t>Status</t>
  </si>
  <si>
    <t>Full fees paid</t>
  </si>
  <si>
    <t>Installment / pending</t>
  </si>
  <si>
    <t>With scholarship</t>
  </si>
  <si>
    <t>Without scholarship</t>
  </si>
  <si>
    <t>Note: Summary tables use formulas (COUNTIF, SUMIF, AVERAGEIF) on the Student Detail sheet and update when the data changes. Dataset is self-created sample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</si>
</sst>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\-yyyy"/>
  </numFmts>
  <fonts count="7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Fees by Course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Summary!$D$3</c:f>
              <c:strCache>
                <c:ptCount val="1"/>
                <c:pt idx="0">
                  <c:v>Total Fees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Summary!$A$4:$A$23</c:f>
              <c:strCache>
                <c:ptCount val="20"/>
                <c:pt idx="0">
                  <c:v>Accounting</c:v>
                </c:pt>
                <c:pt idx="1">
                  <c:v>Artificial Intelligence</c:v>
                </c:pt>
                <c:pt idx="2">
                  <c:v>Business Administration</c:v>
                </c:pt>
                <c:pt idx="3">
                  <c:v>Civil Engineering</c:v>
                </c:pt>
                <c:pt idx="4">
                  <c:v>Cloud Computing</c:v>
                </c:pt>
                <c:pt idx="5">
                  <c:v>Computer Science</c:v>
                </c:pt>
                <c:pt idx="6">
                  <c:v>Cyber Security</c:v>
                </c:pt>
                <c:pt idx="7">
                  <c:v>Data Analytics</c:v>
                </c:pt>
                <c:pt idx="8">
                  <c:v>Digital Marketing</c:v>
                </c:pt>
                <c:pt idx="9">
                  <c:v>Economics</c:v>
                </c:pt>
                <c:pt idx="10">
                  <c:v>Electrical Engineering</c:v>
                </c:pt>
                <c:pt idx="11">
                  <c:v>Finance</c:v>
                </c:pt>
                <c:pt idx="12">
                  <c:v>Graphic Design</c:v>
                </c:pt>
                <c:pt idx="13">
                  <c:v>Hotel Management</c:v>
                </c:pt>
                <c:pt idx="14">
                  <c:v>Human Resource Management</c:v>
                </c:pt>
                <c:pt idx="15">
                  <c:v>Information Technology</c:v>
                </c:pt>
                <c:pt idx="16">
                  <c:v>Machine Learning</c:v>
                </c:pt>
                <c:pt idx="17">
                  <c:v>Mechanical Engineering</c:v>
                </c:pt>
                <c:pt idx="18">
                  <c:v>Psychology</c:v>
                </c:pt>
                <c:pt idx="19">
                  <c:v>Software Engineering</c:v>
                </c:pt>
              </c:strCache>
            </c:strRef>
          </c:cat>
          <c:val>
            <c:numRef>
              <c:f>Summary!$D$4:$D$23</c:f>
              <c:numCache>
                <c:formatCode>#,##0</c:formatCode>
                <c:ptCount val="20"/>
                <c:pt idx="0">
                  <c:v>75000</c:v>
                </c:pt>
                <c:pt idx="1">
                  <c:v>1430000</c:v>
                </c:pt>
                <c:pt idx="2">
                  <c:v>340000</c:v>
                </c:pt>
                <c:pt idx="3">
                  <c:v>690000</c:v>
                </c:pt>
                <c:pt idx="4">
                  <c:v>600000</c:v>
                </c:pt>
                <c:pt idx="5">
                  <c:v>330000</c:v>
                </c:pt>
                <c:pt idx="6">
                  <c:v>1375000</c:v>
                </c:pt>
                <c:pt idx="7">
                  <c:v>285000</c:v>
                </c:pt>
                <c:pt idx="8">
                  <c:v>400000</c:v>
                </c:pt>
                <c:pt idx="9">
                  <c:v>210000</c:v>
                </c:pt>
                <c:pt idx="10">
                  <c:v>826000</c:v>
                </c:pt>
                <c:pt idx="11">
                  <c:v>270000</c:v>
                </c:pt>
                <c:pt idx="12">
                  <c:v>88000</c:v>
                </c:pt>
                <c:pt idx="13">
                  <c:v>98000</c:v>
                </c:pt>
                <c:pt idx="14">
                  <c:v>82000</c:v>
                </c:pt>
                <c:pt idx="15">
                  <c:v>735000</c:v>
                </c:pt>
                <c:pt idx="16">
                  <c:v>1485000</c:v>
                </c:pt>
                <c:pt idx="17">
                  <c:v>720000</c:v>
                </c:pt>
                <c:pt idx="18">
                  <c:v>78000</c:v>
                </c:pt>
                <c:pt idx="19">
                  <c:v>1150000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7-4FF9-B27C-9BEEFC007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46487"/>
        <c:axId val="94928660"/>
      </c:barChart>
      <c:catAx>
        <c:axId val="8774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28660"/>
        <c:crosses val="autoZero"/>
        <c:auto val="1"/>
        <c:lblAlgn val="ctr"/>
        <c:lblOffset val="100"/>
        <c:noMultiLvlLbl val="0"/>
      </c:catAx>
      <c:valAx>
        <c:axId val="949286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7464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Scholarship Amount by Course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Summary!$E$3</c:f>
              <c:strCache>
                <c:ptCount val="1"/>
                <c:pt idx="0">
                  <c:v>Scholarship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Summary!$A$4:$A$23</c:f>
              <c:strCache>
                <c:ptCount val="20"/>
                <c:pt idx="0">
                  <c:v>Accounting</c:v>
                </c:pt>
                <c:pt idx="1">
                  <c:v>Artificial Intelligence</c:v>
                </c:pt>
                <c:pt idx="2">
                  <c:v>Business Administration</c:v>
                </c:pt>
                <c:pt idx="3">
                  <c:v>Civil Engineering</c:v>
                </c:pt>
                <c:pt idx="4">
                  <c:v>Cloud Computing</c:v>
                </c:pt>
                <c:pt idx="5">
                  <c:v>Computer Science</c:v>
                </c:pt>
                <c:pt idx="6">
                  <c:v>Cyber Security</c:v>
                </c:pt>
                <c:pt idx="7">
                  <c:v>Data Analytics</c:v>
                </c:pt>
                <c:pt idx="8">
                  <c:v>Digital Marketing</c:v>
                </c:pt>
                <c:pt idx="9">
                  <c:v>Economics</c:v>
                </c:pt>
                <c:pt idx="10">
                  <c:v>Electrical Engineering</c:v>
                </c:pt>
                <c:pt idx="11">
                  <c:v>Finance</c:v>
                </c:pt>
                <c:pt idx="12">
                  <c:v>Graphic Design</c:v>
                </c:pt>
                <c:pt idx="13">
                  <c:v>Hotel Management</c:v>
                </c:pt>
                <c:pt idx="14">
                  <c:v>Human Resource Management</c:v>
                </c:pt>
                <c:pt idx="15">
                  <c:v>Information Technology</c:v>
                </c:pt>
                <c:pt idx="16">
                  <c:v>Machine Learning</c:v>
                </c:pt>
                <c:pt idx="17">
                  <c:v>Mechanical Engineering</c:v>
                </c:pt>
                <c:pt idx="18">
                  <c:v>Psychology</c:v>
                </c:pt>
                <c:pt idx="19">
                  <c:v>Software Engineering</c:v>
                </c:pt>
              </c:strCache>
            </c:strRef>
          </c:cat>
          <c:val>
            <c:numRef>
              <c:f>Summary!$E$4:$E$23</c:f>
              <c:numCache>
                <c:formatCode>#,##0</c:formatCode>
                <c:ptCount val="20"/>
                <c:pt idx="0">
                  <c:v>0</c:v>
                </c:pt>
                <c:pt idx="1">
                  <c:v>385000</c:v>
                </c:pt>
                <c:pt idx="2">
                  <c:v>0</c:v>
                </c:pt>
                <c:pt idx="3">
                  <c:v>0</c:v>
                </c:pt>
                <c:pt idx="4">
                  <c:v>100000</c:v>
                </c:pt>
                <c:pt idx="5">
                  <c:v>75000</c:v>
                </c:pt>
                <c:pt idx="6">
                  <c:v>330000</c:v>
                </c:pt>
                <c:pt idx="7">
                  <c:v>60000</c:v>
                </c:pt>
                <c:pt idx="8">
                  <c:v>0</c:v>
                </c:pt>
                <c:pt idx="9">
                  <c:v>45000</c:v>
                </c:pt>
                <c:pt idx="10">
                  <c:v>175000</c:v>
                </c:pt>
                <c:pt idx="11">
                  <c:v>0</c:v>
                </c:pt>
                <c:pt idx="12">
                  <c:v>0</c:v>
                </c:pt>
                <c:pt idx="13">
                  <c:v>20000</c:v>
                </c:pt>
                <c:pt idx="14">
                  <c:v>15000</c:v>
                </c:pt>
                <c:pt idx="15">
                  <c:v>140000</c:v>
                </c:pt>
                <c:pt idx="16">
                  <c:v>385000</c:v>
                </c:pt>
                <c:pt idx="17">
                  <c:v>180000</c:v>
                </c:pt>
                <c:pt idx="18">
                  <c:v>18000</c:v>
                </c:pt>
                <c:pt idx="19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7-494D-A14D-03493A54A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05265"/>
        <c:axId val="7897313"/>
      </c:barChart>
      <c:catAx>
        <c:axId val="971052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7313"/>
        <c:crosses val="autoZero"/>
        <c:auto val="1"/>
        <c:lblAlgn val="ctr"/>
        <c:lblOffset val="100"/>
        <c:noMultiLvlLbl val="0"/>
      </c:catAx>
      <c:valAx>
        <c:axId val="78973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1052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Students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Summary!$K$4:$K$13</c:f>
              <c:strCache>
                <c:ptCount val="10"/>
                <c:pt idx="0">
                  <c:v>Aurangabad</c:v>
                </c:pt>
                <c:pt idx="1">
                  <c:v>Kalyan</c:v>
                </c:pt>
                <c:pt idx="2">
                  <c:v>Kolhapur</c:v>
                </c:pt>
                <c:pt idx="3">
                  <c:v>Mumbai</c:v>
                </c:pt>
                <c:pt idx="4">
                  <c:v>Nagpur</c:v>
                </c:pt>
                <c:pt idx="5">
                  <c:v>Nashik</c:v>
                </c:pt>
                <c:pt idx="6">
                  <c:v>Navi Mumbai</c:v>
                </c:pt>
                <c:pt idx="7">
                  <c:v>Pune</c:v>
                </c:pt>
                <c:pt idx="8">
                  <c:v>Thane</c:v>
                </c:pt>
                <c:pt idx="9">
                  <c:v>Vasai</c:v>
                </c:pt>
              </c:strCache>
            </c:strRef>
          </c:cat>
          <c:val>
            <c:numRef>
              <c:f>Summary!$L$4:$L$13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9</c:v>
                </c:pt>
                <c:pt idx="7">
                  <c:v>11</c:v>
                </c:pt>
                <c:pt idx="8">
                  <c:v>11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D-42B1-B0C2-06912E648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585783"/>
        <c:axId val="25872905"/>
      </c:barChart>
      <c:catAx>
        <c:axId val="87585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72905"/>
        <c:crosses val="autoZero"/>
        <c:auto val="1"/>
        <c:lblAlgn val="ctr"/>
        <c:lblOffset val="100"/>
        <c:noMultiLvlLbl val="0"/>
      </c:catAx>
      <c:valAx>
        <c:axId val="25872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85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Fee 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Summary!$L$17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DAF-4E7D-8974-0088F609E97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DAF-4E7D-8974-0088F609E97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DAF-4E7D-8974-0088F609E97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DAF-4E7D-8974-0088F609E9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Summary!$K$18:$K$19</c:f>
              <c:strCache>
                <c:ptCount val="2"/>
                <c:pt idx="0">
                  <c:v>Full fees paid</c:v>
                </c:pt>
                <c:pt idx="1">
                  <c:v>Installment / pending</c:v>
                </c:pt>
              </c:strCache>
            </c:strRef>
          </c:cat>
          <c:val>
            <c:numRef>
              <c:f>Summary!$L$18:$L$19</c:f>
              <c:numCache>
                <c:formatCode>General</c:formatCode>
                <c:ptCount val="2"/>
                <c:pt idx="0">
                  <c:v>14</c:v>
                </c:pt>
                <c:pt idx="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F-4E7D-8974-0088F609E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Scholarship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Summary!$L$22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27E-4099-939C-B1B698F8195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27E-4099-939C-B1B698F8195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27E-4099-939C-B1B698F8195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27E-4099-939C-B1B698F819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Summary!$K$23:$K$24</c:f>
              <c:strCache>
                <c:ptCount val="2"/>
                <c:pt idx="0">
                  <c:v>With scholarship</c:v>
                </c:pt>
                <c:pt idx="1">
                  <c:v>Without scholarship</c:v>
                </c:pt>
              </c:strCache>
            </c:strRef>
          </c:cat>
          <c:val>
            <c:numRef>
              <c:f>Summary!$L$23:$L$24</c:f>
              <c:numCache>
                <c:formatCode>General</c:formatCode>
                <c:ptCount val="2"/>
                <c:pt idx="0">
                  <c:v>81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E-4099-939C-B1B698F81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71280</xdr:rowOff>
    </xdr:from>
    <xdr:to>
      <xdr:col>9</xdr:col>
      <xdr:colOff>450360</xdr:colOff>
      <xdr:row>28</xdr:row>
      <xdr:rowOff>178920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</xdr:row>
      <xdr:rowOff>71280</xdr:rowOff>
    </xdr:from>
    <xdr:to>
      <xdr:col>19</xdr:col>
      <xdr:colOff>450360</xdr:colOff>
      <xdr:row>28</xdr:row>
      <xdr:rowOff>178920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71280</xdr:rowOff>
    </xdr:from>
    <xdr:to>
      <xdr:col>9</xdr:col>
      <xdr:colOff>450360</xdr:colOff>
      <xdr:row>47</xdr:row>
      <xdr:rowOff>93600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32</xdr:row>
      <xdr:rowOff>71280</xdr:rowOff>
    </xdr:from>
    <xdr:to>
      <xdr:col>14</xdr:col>
      <xdr:colOff>559800</xdr:colOff>
      <xdr:row>47</xdr:row>
      <xdr:rowOff>93600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32</xdr:row>
      <xdr:rowOff>71280</xdr:rowOff>
    </xdr:from>
    <xdr:to>
      <xdr:col>19</xdr:col>
      <xdr:colOff>560160</xdr:colOff>
      <xdr:row>47</xdr:row>
      <xdr:rowOff>93600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zoomScaleNormal="100" workbookViewId="0"/>
  </sheetViews>
  <sheetFormatPr defaultColWidth="8.6640625" defaultRowHeight="14.4" x14ac:dyDescent="0.3"/>
  <cols>
    <col min="1" max="23" width="9.5546875" customWidth="1"/>
  </cols>
  <sheetData>
    <row r="1" spans="1:15" ht="21" x14ac:dyDescent="0.4">
      <c r="A1" s="4" t="s">
        <v>0</v>
      </c>
    </row>
    <row r="3" spans="1:15" x14ac:dyDescent="0.3">
      <c r="A3" s="3" t="s">
        <v>1</v>
      </c>
      <c r="B3" s="3"/>
      <c r="C3" s="3"/>
      <c r="E3" s="3" t="s">
        <v>2</v>
      </c>
      <c r="F3" s="3"/>
      <c r="G3" s="3"/>
      <c r="I3" s="3" t="s">
        <v>3</v>
      </c>
      <c r="J3" s="3"/>
      <c r="K3" s="3"/>
      <c r="M3" s="3" t="s">
        <v>4</v>
      </c>
      <c r="N3" s="3"/>
      <c r="O3" s="3"/>
    </row>
    <row r="4" spans="1:15" ht="21" x14ac:dyDescent="0.4">
      <c r="A4" s="2">
        <f>Summary!B24</f>
        <v>100</v>
      </c>
      <c r="B4" s="2"/>
      <c r="C4" s="2"/>
      <c r="E4" s="2">
        <f>Summary!D24</f>
        <v>11267000</v>
      </c>
      <c r="F4" s="2"/>
      <c r="G4" s="2"/>
      <c r="I4" s="2">
        <f>Summary!E24</f>
        <v>2178000</v>
      </c>
      <c r="J4" s="2"/>
      <c r="K4" s="2"/>
      <c r="M4" s="1">
        <f>Summary!E24/Summary!D24</f>
        <v>0.19330789029910359</v>
      </c>
      <c r="N4" s="1"/>
      <c r="O4" s="1"/>
    </row>
  </sheetData>
  <mergeCells count="8">
    <mergeCell ref="A3:C3"/>
    <mergeCell ref="E3:G3"/>
    <mergeCell ref="I3:K3"/>
    <mergeCell ref="M3:O3"/>
    <mergeCell ref="A4:C4"/>
    <mergeCell ref="E4:G4"/>
    <mergeCell ref="I4:K4"/>
    <mergeCell ref="M4:O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1" customWidth="1"/>
    <col min="3" max="3" width="20" customWidth="1"/>
    <col min="4" max="4" width="9" customWidth="1"/>
    <col min="5" max="5" width="28" customWidth="1"/>
    <col min="6" max="6" width="6" customWidth="1"/>
    <col min="7" max="7" width="12" customWidth="1"/>
    <col min="8" max="8" width="11" customWidth="1"/>
    <col min="9" max="9" width="14" customWidth="1"/>
    <col min="10" max="10" width="26" customWidth="1"/>
    <col min="11" max="11" width="11" customWidth="1"/>
    <col min="12" max="12" width="12" customWidth="1"/>
    <col min="13" max="13" width="10" customWidth="1"/>
    <col min="14" max="14" width="14" customWidth="1"/>
    <col min="15" max="16" width="17" customWidth="1"/>
  </cols>
  <sheetData>
    <row r="1" spans="1:16" ht="30" customHeight="1" x14ac:dyDescent="0.3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</row>
    <row r="2" spans="1:16" x14ac:dyDescent="0.3">
      <c r="A2" s="6">
        <v>1</v>
      </c>
      <c r="B2" s="6">
        <v>1039</v>
      </c>
      <c r="C2" s="6" t="s">
        <v>21</v>
      </c>
      <c r="D2" s="6" t="s">
        <v>22</v>
      </c>
      <c r="E2" s="6" t="s">
        <v>23</v>
      </c>
      <c r="F2" s="6">
        <v>24</v>
      </c>
      <c r="G2" s="6">
        <v>48372615</v>
      </c>
      <c r="H2" s="6">
        <v>14</v>
      </c>
      <c r="I2" s="6" t="s">
        <v>24</v>
      </c>
      <c r="J2" s="6" t="s">
        <v>25</v>
      </c>
      <c r="K2" s="7">
        <v>95000</v>
      </c>
      <c r="L2" s="6">
        <v>0</v>
      </c>
      <c r="M2" s="6" t="str">
        <f t="shared" ref="M2:M33" si="0">IF(L2&lt;2,"yes","no")</f>
        <v>yes</v>
      </c>
      <c r="N2" s="8">
        <v>45824</v>
      </c>
      <c r="O2" s="6" t="s">
        <v>26</v>
      </c>
      <c r="P2" s="7">
        <v>20000</v>
      </c>
    </row>
    <row r="3" spans="1:16" x14ac:dyDescent="0.3">
      <c r="A3" s="6">
        <v>2</v>
      </c>
      <c r="B3" s="6">
        <v>1007</v>
      </c>
      <c r="C3" s="6" t="s">
        <v>27</v>
      </c>
      <c r="D3" s="6" t="s">
        <v>22</v>
      </c>
      <c r="E3" s="6" t="s">
        <v>28</v>
      </c>
      <c r="F3" s="6">
        <v>18</v>
      </c>
      <c r="G3" s="6">
        <v>91736482</v>
      </c>
      <c r="H3" s="6">
        <v>12</v>
      </c>
      <c r="I3" s="6" t="s">
        <v>29</v>
      </c>
      <c r="J3" s="6" t="s">
        <v>30</v>
      </c>
      <c r="K3" s="7">
        <v>110000</v>
      </c>
      <c r="L3" s="6">
        <v>3</v>
      </c>
      <c r="M3" s="6" t="str">
        <f t="shared" si="0"/>
        <v>no</v>
      </c>
      <c r="N3" s="8">
        <v>45824</v>
      </c>
      <c r="O3" s="6" t="s">
        <v>26</v>
      </c>
      <c r="P3" s="7">
        <v>25000</v>
      </c>
    </row>
    <row r="4" spans="1:16" x14ac:dyDescent="0.3">
      <c r="A4" s="6">
        <v>3</v>
      </c>
      <c r="B4" s="6">
        <v>1078</v>
      </c>
      <c r="C4" s="6" t="s">
        <v>31</v>
      </c>
      <c r="D4" s="6" t="s">
        <v>22</v>
      </c>
      <c r="E4" s="6" t="s">
        <v>32</v>
      </c>
      <c r="F4" s="6">
        <v>22</v>
      </c>
      <c r="G4" s="6">
        <v>65829174</v>
      </c>
      <c r="H4" s="6">
        <v>14</v>
      </c>
      <c r="I4" s="6" t="s">
        <v>33</v>
      </c>
      <c r="J4" s="6" t="s">
        <v>34</v>
      </c>
      <c r="K4" s="7">
        <v>85000</v>
      </c>
      <c r="L4" s="6">
        <v>3</v>
      </c>
      <c r="M4" s="6" t="str">
        <f t="shared" si="0"/>
        <v>no</v>
      </c>
      <c r="N4" s="8">
        <v>45825</v>
      </c>
      <c r="O4" s="6" t="s">
        <v>35</v>
      </c>
      <c r="P4" s="7">
        <v>0</v>
      </c>
    </row>
    <row r="5" spans="1:16" x14ac:dyDescent="0.3">
      <c r="A5" s="6">
        <v>4</v>
      </c>
      <c r="B5" s="6">
        <v>1070</v>
      </c>
      <c r="C5" s="6" t="s">
        <v>36</v>
      </c>
      <c r="D5" s="6" t="s">
        <v>22</v>
      </c>
      <c r="E5" s="6" t="s">
        <v>37</v>
      </c>
      <c r="F5" s="6">
        <v>21</v>
      </c>
      <c r="G5" s="6">
        <v>27491836</v>
      </c>
      <c r="H5" s="6">
        <v>14</v>
      </c>
      <c r="I5" s="6" t="s">
        <v>38</v>
      </c>
      <c r="J5" s="6" t="s">
        <v>39</v>
      </c>
      <c r="K5" s="7">
        <v>120000</v>
      </c>
      <c r="L5" s="6">
        <v>3</v>
      </c>
      <c r="M5" s="6" t="str">
        <f t="shared" si="0"/>
        <v>no</v>
      </c>
      <c r="N5" s="8">
        <v>45825</v>
      </c>
      <c r="O5" s="6" t="s">
        <v>26</v>
      </c>
      <c r="P5" s="7">
        <v>30000</v>
      </c>
    </row>
    <row r="6" spans="1:16" x14ac:dyDescent="0.3">
      <c r="A6" s="6">
        <v>5</v>
      </c>
      <c r="B6" s="6">
        <v>1003</v>
      </c>
      <c r="C6" s="6" t="s">
        <v>40</v>
      </c>
      <c r="D6" s="6" t="s">
        <v>22</v>
      </c>
      <c r="E6" s="6" t="s">
        <v>41</v>
      </c>
      <c r="F6" s="6">
        <v>20</v>
      </c>
      <c r="G6" s="6">
        <v>80573641</v>
      </c>
      <c r="H6" s="6">
        <v>13</v>
      </c>
      <c r="I6" s="6" t="s">
        <v>42</v>
      </c>
      <c r="J6" s="6" t="s">
        <v>43</v>
      </c>
      <c r="K6" s="7">
        <v>115000</v>
      </c>
      <c r="L6" s="6">
        <v>3</v>
      </c>
      <c r="M6" s="6" t="str">
        <f t="shared" si="0"/>
        <v>no</v>
      </c>
      <c r="N6" s="8">
        <v>45826</v>
      </c>
      <c r="O6" s="6" t="s">
        <v>35</v>
      </c>
      <c r="P6" s="7">
        <v>0</v>
      </c>
    </row>
    <row r="7" spans="1:16" x14ac:dyDescent="0.3">
      <c r="A7" s="6">
        <v>6</v>
      </c>
      <c r="B7" s="6">
        <v>1043</v>
      </c>
      <c r="C7" s="6" t="s">
        <v>44</v>
      </c>
      <c r="D7" s="6" t="s">
        <v>22</v>
      </c>
      <c r="E7" s="6" t="s">
        <v>45</v>
      </c>
      <c r="F7" s="6">
        <v>20</v>
      </c>
      <c r="G7" s="6">
        <v>19384756</v>
      </c>
      <c r="H7" s="6">
        <v>11</v>
      </c>
      <c r="I7" s="6" t="s">
        <v>46</v>
      </c>
      <c r="J7" s="6" t="s">
        <v>47</v>
      </c>
      <c r="K7" s="7">
        <v>118000</v>
      </c>
      <c r="L7" s="6">
        <v>2</v>
      </c>
      <c r="M7" s="6" t="str">
        <f t="shared" si="0"/>
        <v>no</v>
      </c>
      <c r="N7" s="8">
        <v>45826</v>
      </c>
      <c r="O7" s="6" t="s">
        <v>26</v>
      </c>
      <c r="P7" s="7">
        <v>25000</v>
      </c>
    </row>
    <row r="8" spans="1:16" x14ac:dyDescent="0.3">
      <c r="A8" s="6">
        <v>7</v>
      </c>
      <c r="B8" s="6">
        <v>1093</v>
      </c>
      <c r="C8" s="6" t="s">
        <v>48</v>
      </c>
      <c r="D8" s="6" t="s">
        <v>22</v>
      </c>
      <c r="E8" s="6" t="s">
        <v>49</v>
      </c>
      <c r="F8" s="6">
        <v>23</v>
      </c>
      <c r="G8" s="6">
        <v>74628195</v>
      </c>
      <c r="H8" s="6">
        <v>12</v>
      </c>
      <c r="I8" s="6" t="s">
        <v>50</v>
      </c>
      <c r="J8" s="6" t="s">
        <v>51</v>
      </c>
      <c r="K8" s="7">
        <v>105000</v>
      </c>
      <c r="L8" s="6">
        <v>3</v>
      </c>
      <c r="M8" s="6" t="str">
        <f t="shared" si="0"/>
        <v>no</v>
      </c>
      <c r="N8" s="8">
        <v>45826</v>
      </c>
      <c r="O8" s="6" t="s">
        <v>26</v>
      </c>
      <c r="P8" s="7">
        <v>20000</v>
      </c>
    </row>
    <row r="9" spans="1:16" x14ac:dyDescent="0.3">
      <c r="A9" s="6">
        <v>8</v>
      </c>
      <c r="B9" s="6">
        <v>1022</v>
      </c>
      <c r="C9" s="6" t="s">
        <v>52</v>
      </c>
      <c r="D9" s="6" t="s">
        <v>22</v>
      </c>
      <c r="E9" s="6" t="s">
        <v>53</v>
      </c>
      <c r="F9" s="6">
        <v>25</v>
      </c>
      <c r="G9" s="6">
        <v>52837461</v>
      </c>
      <c r="H9" s="6">
        <v>12</v>
      </c>
      <c r="I9" s="6" t="s">
        <v>54</v>
      </c>
      <c r="J9" s="6" t="s">
        <v>55</v>
      </c>
      <c r="K9" s="7">
        <v>130000</v>
      </c>
      <c r="L9" s="6">
        <v>3</v>
      </c>
      <c r="M9" s="6" t="str">
        <f t="shared" si="0"/>
        <v>no</v>
      </c>
      <c r="N9" s="8">
        <v>45827</v>
      </c>
      <c r="O9" s="6" t="s">
        <v>26</v>
      </c>
      <c r="P9" s="7">
        <v>35000</v>
      </c>
    </row>
    <row r="10" spans="1:16" x14ac:dyDescent="0.3">
      <c r="A10" s="6">
        <v>9</v>
      </c>
      <c r="B10" s="6">
        <v>1009</v>
      </c>
      <c r="C10" s="6" t="s">
        <v>56</v>
      </c>
      <c r="D10" s="6" t="s">
        <v>22</v>
      </c>
      <c r="E10" s="6" t="s">
        <v>57</v>
      </c>
      <c r="F10" s="6">
        <v>19</v>
      </c>
      <c r="G10" s="6">
        <v>86421937</v>
      </c>
      <c r="H10" s="6">
        <v>14</v>
      </c>
      <c r="I10" s="6" t="s">
        <v>58</v>
      </c>
      <c r="J10" s="6" t="s">
        <v>59</v>
      </c>
      <c r="K10" s="7">
        <v>135000</v>
      </c>
      <c r="L10" s="6">
        <v>3</v>
      </c>
      <c r="M10" s="6" t="str">
        <f t="shared" si="0"/>
        <v>no</v>
      </c>
      <c r="N10" s="8">
        <v>45827</v>
      </c>
      <c r="O10" s="6" t="s">
        <v>26</v>
      </c>
      <c r="P10" s="7">
        <v>35000</v>
      </c>
    </row>
    <row r="11" spans="1:16" x14ac:dyDescent="0.3">
      <c r="A11" s="6">
        <v>10</v>
      </c>
      <c r="B11" s="6">
        <v>1064</v>
      </c>
      <c r="C11" s="6" t="s">
        <v>60</v>
      </c>
      <c r="D11" s="6" t="s">
        <v>22</v>
      </c>
      <c r="E11" s="6" t="s">
        <v>61</v>
      </c>
      <c r="F11" s="6">
        <v>20</v>
      </c>
      <c r="G11" s="6">
        <v>31578264</v>
      </c>
      <c r="H11" s="6">
        <v>11</v>
      </c>
      <c r="I11" s="6" t="s">
        <v>62</v>
      </c>
      <c r="J11" s="6" t="s">
        <v>63</v>
      </c>
      <c r="K11" s="7">
        <v>125000</v>
      </c>
      <c r="L11" s="6">
        <v>2</v>
      </c>
      <c r="M11" s="6" t="str">
        <f t="shared" si="0"/>
        <v>no</v>
      </c>
      <c r="N11" s="8">
        <v>45828</v>
      </c>
      <c r="O11" s="6" t="s">
        <v>26</v>
      </c>
      <c r="P11" s="7">
        <v>30000</v>
      </c>
    </row>
    <row r="12" spans="1:16" x14ac:dyDescent="0.3">
      <c r="A12" s="6">
        <v>11</v>
      </c>
      <c r="B12" s="6">
        <v>1094</v>
      </c>
      <c r="C12" s="6" t="s">
        <v>64</v>
      </c>
      <c r="D12" s="6" t="s">
        <v>65</v>
      </c>
      <c r="E12" s="6" t="s">
        <v>66</v>
      </c>
      <c r="F12" s="6">
        <v>18</v>
      </c>
      <c r="G12" s="6">
        <v>90746381</v>
      </c>
      <c r="H12" s="6">
        <v>12</v>
      </c>
      <c r="I12" s="6" t="s">
        <v>24</v>
      </c>
      <c r="J12" s="6" t="s">
        <v>67</v>
      </c>
      <c r="K12" s="7">
        <v>115000</v>
      </c>
      <c r="L12" s="6">
        <v>3</v>
      </c>
      <c r="M12" s="6" t="str">
        <f t="shared" si="0"/>
        <v>no</v>
      </c>
      <c r="N12" s="8">
        <v>45828</v>
      </c>
      <c r="O12" s="6" t="s">
        <v>26</v>
      </c>
      <c r="P12" s="7">
        <v>25000</v>
      </c>
    </row>
    <row r="13" spans="1:16" x14ac:dyDescent="0.3">
      <c r="A13" s="6">
        <v>12</v>
      </c>
      <c r="B13" s="6">
        <v>1081</v>
      </c>
      <c r="C13" s="6" t="s">
        <v>68</v>
      </c>
      <c r="D13" s="6" t="s">
        <v>65</v>
      </c>
      <c r="E13" s="6" t="s">
        <v>69</v>
      </c>
      <c r="F13" s="6">
        <v>21</v>
      </c>
      <c r="G13" s="6">
        <v>48192635</v>
      </c>
      <c r="H13" s="6">
        <v>14</v>
      </c>
      <c r="I13" s="6" t="s">
        <v>29</v>
      </c>
      <c r="J13" s="6" t="s">
        <v>70</v>
      </c>
      <c r="K13" s="7">
        <v>120000</v>
      </c>
      <c r="L13" s="6">
        <v>3</v>
      </c>
      <c r="M13" s="6" t="str">
        <f t="shared" si="0"/>
        <v>no</v>
      </c>
      <c r="N13" s="8">
        <v>45828</v>
      </c>
      <c r="O13" s="6" t="s">
        <v>26</v>
      </c>
      <c r="P13" s="7">
        <v>20000</v>
      </c>
    </row>
    <row r="14" spans="1:16" x14ac:dyDescent="0.3">
      <c r="A14" s="6">
        <v>13</v>
      </c>
      <c r="B14" s="6">
        <v>1023</v>
      </c>
      <c r="C14" s="6" t="s">
        <v>71</v>
      </c>
      <c r="D14" s="6" t="s">
        <v>65</v>
      </c>
      <c r="E14" s="6" t="s">
        <v>72</v>
      </c>
      <c r="F14" s="6">
        <v>19</v>
      </c>
      <c r="G14" s="6">
        <v>76251849</v>
      </c>
      <c r="H14" s="6">
        <v>11</v>
      </c>
      <c r="I14" s="6" t="s">
        <v>33</v>
      </c>
      <c r="J14" s="6" t="s">
        <v>73</v>
      </c>
      <c r="K14" s="7">
        <v>80000</v>
      </c>
      <c r="L14" s="6">
        <v>3</v>
      </c>
      <c r="M14" s="6" t="str">
        <f t="shared" si="0"/>
        <v>no</v>
      </c>
      <c r="N14" s="8">
        <v>45829</v>
      </c>
      <c r="O14" s="6" t="s">
        <v>35</v>
      </c>
      <c r="P14" s="7">
        <v>0</v>
      </c>
    </row>
    <row r="15" spans="1:16" x14ac:dyDescent="0.3">
      <c r="A15" s="6">
        <v>14</v>
      </c>
      <c r="B15" s="6">
        <v>1021</v>
      </c>
      <c r="C15" s="6" t="s">
        <v>74</v>
      </c>
      <c r="D15" s="6" t="s">
        <v>65</v>
      </c>
      <c r="E15" s="6" t="s">
        <v>75</v>
      </c>
      <c r="F15" s="6">
        <v>24</v>
      </c>
      <c r="G15" s="6">
        <v>23984716</v>
      </c>
      <c r="H15" s="6">
        <v>15</v>
      </c>
      <c r="I15" s="6" t="s">
        <v>38</v>
      </c>
      <c r="J15" s="6" t="s">
        <v>76</v>
      </c>
      <c r="K15" s="7">
        <v>90000</v>
      </c>
      <c r="L15" s="6">
        <v>2</v>
      </c>
      <c r="M15" s="6" t="str">
        <f t="shared" si="0"/>
        <v>no</v>
      </c>
      <c r="N15" s="8">
        <v>45829</v>
      </c>
      <c r="O15" s="6" t="s">
        <v>35</v>
      </c>
      <c r="P15" s="7">
        <v>0</v>
      </c>
    </row>
    <row r="16" spans="1:16" x14ac:dyDescent="0.3">
      <c r="A16" s="6">
        <v>15</v>
      </c>
      <c r="B16" s="6">
        <v>1092</v>
      </c>
      <c r="C16" s="6" t="s">
        <v>77</v>
      </c>
      <c r="D16" s="6" t="s">
        <v>65</v>
      </c>
      <c r="E16" s="6" t="s">
        <v>78</v>
      </c>
      <c r="F16" s="6">
        <v>23</v>
      </c>
      <c r="G16" s="6">
        <v>68419375</v>
      </c>
      <c r="H16" s="6">
        <v>15</v>
      </c>
      <c r="I16" s="6" t="s">
        <v>42</v>
      </c>
      <c r="J16" s="6" t="s">
        <v>79</v>
      </c>
      <c r="K16" s="7">
        <v>82000</v>
      </c>
      <c r="L16" s="6">
        <v>3</v>
      </c>
      <c r="M16" s="6" t="str">
        <f t="shared" si="0"/>
        <v>no</v>
      </c>
      <c r="N16" s="8">
        <v>45830</v>
      </c>
      <c r="O16" s="6" t="s">
        <v>26</v>
      </c>
      <c r="P16" s="7">
        <v>15000</v>
      </c>
    </row>
    <row r="17" spans="1:16" x14ac:dyDescent="0.3">
      <c r="A17" s="6">
        <v>16</v>
      </c>
      <c r="B17" s="6">
        <v>1018</v>
      </c>
      <c r="C17" s="6" t="s">
        <v>80</v>
      </c>
      <c r="D17" s="6" t="s">
        <v>65</v>
      </c>
      <c r="E17" s="6" t="s">
        <v>81</v>
      </c>
      <c r="F17" s="6">
        <v>23</v>
      </c>
      <c r="G17" s="6">
        <v>51827493</v>
      </c>
      <c r="H17" s="6">
        <v>15</v>
      </c>
      <c r="I17" s="6" t="s">
        <v>54</v>
      </c>
      <c r="J17" s="6" t="s">
        <v>82</v>
      </c>
      <c r="K17" s="7">
        <v>75000</v>
      </c>
      <c r="L17" s="6">
        <v>3</v>
      </c>
      <c r="M17" s="6" t="str">
        <f t="shared" si="0"/>
        <v>no</v>
      </c>
      <c r="N17" s="8">
        <v>45830</v>
      </c>
      <c r="O17" s="6" t="s">
        <v>35</v>
      </c>
      <c r="P17" s="7">
        <v>0</v>
      </c>
    </row>
    <row r="18" spans="1:16" x14ac:dyDescent="0.3">
      <c r="A18" s="6">
        <v>17</v>
      </c>
      <c r="B18" s="6">
        <v>1048</v>
      </c>
      <c r="C18" s="6" t="s">
        <v>83</v>
      </c>
      <c r="D18" s="6" t="s">
        <v>65</v>
      </c>
      <c r="E18" s="6" t="s">
        <v>84</v>
      </c>
      <c r="F18" s="6">
        <v>25</v>
      </c>
      <c r="G18" s="6">
        <v>97163528</v>
      </c>
      <c r="H18" s="6">
        <v>11</v>
      </c>
      <c r="I18" s="6" t="s">
        <v>50</v>
      </c>
      <c r="J18" s="6" t="s">
        <v>85</v>
      </c>
      <c r="K18" s="7">
        <v>70000</v>
      </c>
      <c r="L18" s="6">
        <v>2</v>
      </c>
      <c r="M18" s="6" t="str">
        <f t="shared" si="0"/>
        <v>no</v>
      </c>
      <c r="N18" s="8">
        <v>45831</v>
      </c>
      <c r="O18" s="6" t="s">
        <v>26</v>
      </c>
      <c r="P18" s="7">
        <v>15000</v>
      </c>
    </row>
    <row r="19" spans="1:16" x14ac:dyDescent="0.3">
      <c r="A19" s="6">
        <v>18</v>
      </c>
      <c r="B19" s="6">
        <v>1100</v>
      </c>
      <c r="C19" s="6" t="s">
        <v>86</v>
      </c>
      <c r="D19" s="6" t="s">
        <v>65</v>
      </c>
      <c r="E19" s="6" t="s">
        <v>87</v>
      </c>
      <c r="F19" s="6">
        <v>24</v>
      </c>
      <c r="G19" s="6">
        <v>34679182</v>
      </c>
      <c r="H19" s="6">
        <v>13</v>
      </c>
      <c r="I19" s="6" t="s">
        <v>46</v>
      </c>
      <c r="J19" s="6" t="s">
        <v>88</v>
      </c>
      <c r="K19" s="7">
        <v>78000</v>
      </c>
      <c r="L19" s="6">
        <v>3</v>
      </c>
      <c r="M19" s="6" t="str">
        <f t="shared" si="0"/>
        <v>no</v>
      </c>
      <c r="N19" s="8">
        <v>45831</v>
      </c>
      <c r="O19" s="6" t="s">
        <v>26</v>
      </c>
      <c r="P19" s="7">
        <v>18000</v>
      </c>
    </row>
    <row r="20" spans="1:16" x14ac:dyDescent="0.3">
      <c r="A20" s="6">
        <v>19</v>
      </c>
      <c r="B20" s="6">
        <v>1095</v>
      </c>
      <c r="C20" s="6" t="s">
        <v>89</v>
      </c>
      <c r="D20" s="6" t="s">
        <v>65</v>
      </c>
      <c r="E20" s="6" t="s">
        <v>90</v>
      </c>
      <c r="F20" s="6">
        <v>22</v>
      </c>
      <c r="G20" s="6">
        <v>82541769</v>
      </c>
      <c r="H20" s="6">
        <v>12</v>
      </c>
      <c r="I20" s="6" t="s">
        <v>58</v>
      </c>
      <c r="J20" s="6" t="s">
        <v>91</v>
      </c>
      <c r="K20" s="7">
        <v>88000</v>
      </c>
      <c r="L20" s="6">
        <v>3</v>
      </c>
      <c r="M20" s="6" t="str">
        <f t="shared" si="0"/>
        <v>no</v>
      </c>
      <c r="N20" s="8">
        <v>45832</v>
      </c>
      <c r="O20" s="6" t="s">
        <v>35</v>
      </c>
      <c r="P20" s="7">
        <v>0</v>
      </c>
    </row>
    <row r="21" spans="1:16" x14ac:dyDescent="0.3">
      <c r="A21" s="6">
        <v>20</v>
      </c>
      <c r="B21" s="6">
        <v>1052</v>
      </c>
      <c r="C21" s="6" t="s">
        <v>92</v>
      </c>
      <c r="D21" s="6" t="s">
        <v>65</v>
      </c>
      <c r="E21" s="6" t="s">
        <v>93</v>
      </c>
      <c r="F21" s="6">
        <v>19</v>
      </c>
      <c r="G21" s="6">
        <v>15493827</v>
      </c>
      <c r="H21" s="6">
        <v>12</v>
      </c>
      <c r="I21" s="6" t="s">
        <v>62</v>
      </c>
      <c r="J21" s="6" t="s">
        <v>94</v>
      </c>
      <c r="K21" s="7">
        <v>98000</v>
      </c>
      <c r="L21" s="6">
        <v>3</v>
      </c>
      <c r="M21" s="6" t="str">
        <f t="shared" si="0"/>
        <v>no</v>
      </c>
      <c r="N21" s="8">
        <v>45832</v>
      </c>
      <c r="O21" s="6" t="s">
        <v>26</v>
      </c>
      <c r="P21" s="7">
        <v>20000</v>
      </c>
    </row>
    <row r="22" spans="1:16" x14ac:dyDescent="0.3">
      <c r="A22" s="6">
        <v>21</v>
      </c>
      <c r="B22" s="6">
        <v>1004</v>
      </c>
      <c r="C22" s="6" t="s">
        <v>95</v>
      </c>
      <c r="D22" s="6" t="s">
        <v>22</v>
      </c>
      <c r="E22" s="6" t="s">
        <v>96</v>
      </c>
      <c r="F22" s="6">
        <v>21</v>
      </c>
      <c r="G22" s="6">
        <v>69387154</v>
      </c>
      <c r="H22" s="6">
        <v>11</v>
      </c>
      <c r="I22" s="6" t="s">
        <v>24</v>
      </c>
      <c r="J22" s="6" t="s">
        <v>55</v>
      </c>
      <c r="K22" s="7">
        <v>130000</v>
      </c>
      <c r="L22" s="6">
        <v>2</v>
      </c>
      <c r="M22" s="6" t="str">
        <f t="shared" si="0"/>
        <v>no</v>
      </c>
      <c r="N22" s="8">
        <v>45833</v>
      </c>
      <c r="O22" s="6" t="s">
        <v>26</v>
      </c>
      <c r="P22" s="7">
        <v>35000</v>
      </c>
    </row>
    <row r="23" spans="1:16" x14ac:dyDescent="0.3">
      <c r="A23" s="6">
        <v>22</v>
      </c>
      <c r="B23" s="6">
        <v>1047</v>
      </c>
      <c r="C23" s="6" t="s">
        <v>97</v>
      </c>
      <c r="D23" s="6" t="s">
        <v>22</v>
      </c>
      <c r="E23" s="6" t="s">
        <v>98</v>
      </c>
      <c r="F23" s="6">
        <v>24</v>
      </c>
      <c r="G23" s="6">
        <v>28741639</v>
      </c>
      <c r="H23" s="6">
        <v>14</v>
      </c>
      <c r="I23" s="6" t="s">
        <v>29</v>
      </c>
      <c r="J23" s="6" t="s">
        <v>59</v>
      </c>
      <c r="K23" s="7">
        <v>135000</v>
      </c>
      <c r="L23" s="6">
        <v>3</v>
      </c>
      <c r="M23" s="6" t="str">
        <f t="shared" si="0"/>
        <v>no</v>
      </c>
      <c r="N23" s="8">
        <v>45833</v>
      </c>
      <c r="O23" s="6" t="s">
        <v>26</v>
      </c>
      <c r="P23" s="7">
        <v>35000</v>
      </c>
    </row>
    <row r="24" spans="1:16" x14ac:dyDescent="0.3">
      <c r="A24" s="6">
        <v>23</v>
      </c>
      <c r="B24" s="6">
        <v>1091</v>
      </c>
      <c r="C24" s="6" t="s">
        <v>99</v>
      </c>
      <c r="D24" s="6" t="s">
        <v>22</v>
      </c>
      <c r="E24" s="6" t="s">
        <v>100</v>
      </c>
      <c r="F24" s="6">
        <v>23</v>
      </c>
      <c r="G24" s="6">
        <v>54198276</v>
      </c>
      <c r="H24" s="6">
        <v>12</v>
      </c>
      <c r="I24" s="6" t="s">
        <v>33</v>
      </c>
      <c r="J24" s="6" t="s">
        <v>63</v>
      </c>
      <c r="K24" s="7">
        <v>125000</v>
      </c>
      <c r="L24" s="6">
        <v>2</v>
      </c>
      <c r="M24" s="6" t="str">
        <f t="shared" si="0"/>
        <v>no</v>
      </c>
      <c r="N24" s="8">
        <v>45834</v>
      </c>
      <c r="O24" s="6" t="s">
        <v>26</v>
      </c>
      <c r="P24" s="7">
        <v>30000</v>
      </c>
    </row>
    <row r="25" spans="1:16" x14ac:dyDescent="0.3">
      <c r="A25" s="6">
        <v>24</v>
      </c>
      <c r="B25" s="6">
        <v>1005</v>
      </c>
      <c r="C25" s="6" t="s">
        <v>101</v>
      </c>
      <c r="D25" s="6" t="s">
        <v>22</v>
      </c>
      <c r="E25" s="6" t="s">
        <v>102</v>
      </c>
      <c r="F25" s="6">
        <v>20</v>
      </c>
      <c r="G25" s="6">
        <v>83961742</v>
      </c>
      <c r="H25" s="6">
        <v>13</v>
      </c>
      <c r="I25" s="6" t="s">
        <v>42</v>
      </c>
      <c r="J25" s="6" t="s">
        <v>67</v>
      </c>
      <c r="K25" s="7">
        <v>115000</v>
      </c>
      <c r="L25" s="6">
        <v>2</v>
      </c>
      <c r="M25" s="6" t="str">
        <f t="shared" si="0"/>
        <v>no</v>
      </c>
      <c r="N25" s="8">
        <v>45834</v>
      </c>
      <c r="O25" s="6" t="s">
        <v>26</v>
      </c>
      <c r="P25" s="7">
        <v>25000</v>
      </c>
    </row>
    <row r="26" spans="1:16" x14ac:dyDescent="0.3">
      <c r="A26" s="6">
        <v>25</v>
      </c>
      <c r="B26" s="6">
        <v>1025</v>
      </c>
      <c r="C26" s="6" t="s">
        <v>103</v>
      </c>
      <c r="D26" s="6" t="s">
        <v>22</v>
      </c>
      <c r="E26" s="6" t="s">
        <v>104</v>
      </c>
      <c r="F26" s="6">
        <v>18</v>
      </c>
      <c r="G26" s="6">
        <v>17258493</v>
      </c>
      <c r="H26" s="6">
        <v>12</v>
      </c>
      <c r="I26" s="6" t="s">
        <v>38</v>
      </c>
      <c r="J26" s="6" t="s">
        <v>55</v>
      </c>
      <c r="K26" s="7">
        <v>130000</v>
      </c>
      <c r="L26" s="6">
        <v>3</v>
      </c>
      <c r="M26" s="6" t="str">
        <f t="shared" si="0"/>
        <v>no</v>
      </c>
      <c r="N26" s="8">
        <v>45835</v>
      </c>
      <c r="O26" s="6" t="s">
        <v>26</v>
      </c>
      <c r="P26" s="7">
        <v>35000</v>
      </c>
    </row>
    <row r="27" spans="1:16" x14ac:dyDescent="0.3">
      <c r="A27" s="6">
        <v>26</v>
      </c>
      <c r="B27" s="6">
        <v>1040</v>
      </c>
      <c r="C27" s="6" t="s">
        <v>105</v>
      </c>
      <c r="D27" s="6" t="s">
        <v>22</v>
      </c>
      <c r="E27" s="6" t="s">
        <v>106</v>
      </c>
      <c r="F27" s="6">
        <v>18</v>
      </c>
      <c r="G27" s="6">
        <v>46829175</v>
      </c>
      <c r="H27" s="6">
        <v>12</v>
      </c>
      <c r="I27" s="6" t="s">
        <v>50</v>
      </c>
      <c r="J27" s="6" t="s">
        <v>59</v>
      </c>
      <c r="K27" s="7">
        <v>135000</v>
      </c>
      <c r="L27" s="6">
        <v>2</v>
      </c>
      <c r="M27" s="6" t="str">
        <f t="shared" si="0"/>
        <v>no</v>
      </c>
      <c r="N27" s="8">
        <v>45835</v>
      </c>
      <c r="O27" s="6" t="s">
        <v>26</v>
      </c>
      <c r="P27" s="7">
        <v>35000</v>
      </c>
    </row>
    <row r="28" spans="1:16" x14ac:dyDescent="0.3">
      <c r="A28" s="6">
        <v>27</v>
      </c>
      <c r="B28" s="6">
        <v>1060</v>
      </c>
      <c r="C28" s="6" t="s">
        <v>107</v>
      </c>
      <c r="D28" s="6" t="s">
        <v>22</v>
      </c>
      <c r="E28" s="6" t="s">
        <v>108</v>
      </c>
      <c r="F28" s="6">
        <v>21</v>
      </c>
      <c r="G28" s="6">
        <v>92573814</v>
      </c>
      <c r="H28" s="6">
        <v>11</v>
      </c>
      <c r="I28" s="6" t="s">
        <v>54</v>
      </c>
      <c r="J28" s="6" t="s">
        <v>63</v>
      </c>
      <c r="K28" s="7">
        <v>125000</v>
      </c>
      <c r="L28" s="6">
        <v>3</v>
      </c>
      <c r="M28" s="6" t="str">
        <f t="shared" si="0"/>
        <v>no</v>
      </c>
      <c r="N28" s="8">
        <v>45836</v>
      </c>
      <c r="O28" s="6" t="s">
        <v>26</v>
      </c>
      <c r="P28" s="7">
        <v>30000</v>
      </c>
    </row>
    <row r="29" spans="1:16" x14ac:dyDescent="0.3">
      <c r="A29" s="6">
        <v>28</v>
      </c>
      <c r="B29" s="6">
        <v>1096</v>
      </c>
      <c r="C29" s="6" t="s">
        <v>109</v>
      </c>
      <c r="D29" s="6" t="s">
        <v>22</v>
      </c>
      <c r="E29" s="6" t="s">
        <v>110</v>
      </c>
      <c r="F29" s="6">
        <v>22</v>
      </c>
      <c r="G29" s="6">
        <v>31746982</v>
      </c>
      <c r="H29" s="6">
        <v>14</v>
      </c>
      <c r="I29" s="6" t="s">
        <v>58</v>
      </c>
      <c r="J29" s="6" t="s">
        <v>55</v>
      </c>
      <c r="K29" s="7">
        <v>130000</v>
      </c>
      <c r="L29" s="6">
        <v>2</v>
      </c>
      <c r="M29" s="6" t="str">
        <f t="shared" si="0"/>
        <v>no</v>
      </c>
      <c r="N29" s="8">
        <v>45836</v>
      </c>
      <c r="O29" s="6" t="s">
        <v>26</v>
      </c>
      <c r="P29" s="7">
        <v>35000</v>
      </c>
    </row>
    <row r="30" spans="1:16" x14ac:dyDescent="0.3">
      <c r="A30" s="6">
        <v>29</v>
      </c>
      <c r="B30" s="6">
        <v>1056</v>
      </c>
      <c r="C30" s="6" t="s">
        <v>111</v>
      </c>
      <c r="D30" s="6" t="s">
        <v>22</v>
      </c>
      <c r="E30" s="6" t="s">
        <v>112</v>
      </c>
      <c r="F30" s="6">
        <v>22</v>
      </c>
      <c r="G30" s="6">
        <v>75618439</v>
      </c>
      <c r="H30" s="6">
        <v>14</v>
      </c>
      <c r="I30" s="6" t="s">
        <v>46</v>
      </c>
      <c r="J30" s="6" t="s">
        <v>59</v>
      </c>
      <c r="K30" s="7">
        <v>135000</v>
      </c>
      <c r="L30" s="6">
        <v>2</v>
      </c>
      <c r="M30" s="6" t="str">
        <f t="shared" si="0"/>
        <v>no</v>
      </c>
      <c r="N30" s="8">
        <v>45838</v>
      </c>
      <c r="O30" s="6" t="s">
        <v>26</v>
      </c>
      <c r="P30" s="7">
        <v>35000</v>
      </c>
    </row>
    <row r="31" spans="1:16" x14ac:dyDescent="0.3">
      <c r="A31" s="6">
        <v>30</v>
      </c>
      <c r="B31" s="6">
        <v>1053</v>
      </c>
      <c r="C31" s="6" t="s">
        <v>113</v>
      </c>
      <c r="D31" s="6" t="s">
        <v>22</v>
      </c>
      <c r="E31" s="6" t="s">
        <v>114</v>
      </c>
      <c r="F31" s="6">
        <v>23</v>
      </c>
      <c r="G31" s="6">
        <v>28493761</v>
      </c>
      <c r="H31" s="6">
        <v>13</v>
      </c>
      <c r="I31" s="6" t="s">
        <v>62</v>
      </c>
      <c r="J31" s="6" t="s">
        <v>63</v>
      </c>
      <c r="K31" s="7">
        <v>125000</v>
      </c>
      <c r="L31" s="6">
        <v>3</v>
      </c>
      <c r="M31" s="6" t="str">
        <f t="shared" si="0"/>
        <v>no</v>
      </c>
      <c r="N31" s="8">
        <v>45838</v>
      </c>
      <c r="O31" s="6" t="s">
        <v>26</v>
      </c>
      <c r="P31" s="7">
        <v>30000</v>
      </c>
    </row>
    <row r="32" spans="1:16" x14ac:dyDescent="0.3">
      <c r="A32" s="6">
        <v>31</v>
      </c>
      <c r="B32" s="6">
        <v>1062</v>
      </c>
      <c r="C32" s="6" t="s">
        <v>115</v>
      </c>
      <c r="D32" s="6" t="s">
        <v>22</v>
      </c>
      <c r="E32" s="6" t="s">
        <v>116</v>
      </c>
      <c r="F32" s="6">
        <v>21</v>
      </c>
      <c r="G32" s="6">
        <v>69172584</v>
      </c>
      <c r="H32" s="6">
        <v>11</v>
      </c>
      <c r="I32" s="6" t="s">
        <v>29</v>
      </c>
      <c r="J32" s="6" t="s">
        <v>67</v>
      </c>
      <c r="K32" s="7">
        <v>115000</v>
      </c>
      <c r="L32" s="6">
        <v>0</v>
      </c>
      <c r="M32" s="6" t="str">
        <f t="shared" si="0"/>
        <v>yes</v>
      </c>
      <c r="N32" s="8">
        <v>45839</v>
      </c>
      <c r="O32" s="6" t="s">
        <v>26</v>
      </c>
      <c r="P32" s="7">
        <v>25000</v>
      </c>
    </row>
    <row r="33" spans="1:16" x14ac:dyDescent="0.3">
      <c r="A33" s="6">
        <v>32</v>
      </c>
      <c r="B33" s="6">
        <v>1084</v>
      </c>
      <c r="C33" s="6" t="s">
        <v>117</v>
      </c>
      <c r="D33" s="6" t="s">
        <v>22</v>
      </c>
      <c r="E33" s="6" t="s">
        <v>118</v>
      </c>
      <c r="F33" s="6">
        <v>23</v>
      </c>
      <c r="G33" s="6">
        <v>43896127</v>
      </c>
      <c r="H33" s="6">
        <v>14</v>
      </c>
      <c r="I33" s="6" t="s">
        <v>24</v>
      </c>
      <c r="J33" s="6" t="s">
        <v>55</v>
      </c>
      <c r="K33" s="7">
        <v>130000</v>
      </c>
      <c r="L33" s="6">
        <v>3</v>
      </c>
      <c r="M33" s="6" t="str">
        <f t="shared" si="0"/>
        <v>no</v>
      </c>
      <c r="N33" s="8">
        <v>45839</v>
      </c>
      <c r="O33" s="6" t="s">
        <v>26</v>
      </c>
      <c r="P33" s="7">
        <v>35000</v>
      </c>
    </row>
    <row r="34" spans="1:16" x14ac:dyDescent="0.3">
      <c r="A34" s="6">
        <v>33</v>
      </c>
      <c r="B34" s="6">
        <v>1073</v>
      </c>
      <c r="C34" s="6" t="s">
        <v>119</v>
      </c>
      <c r="D34" s="6" t="s">
        <v>22</v>
      </c>
      <c r="E34" s="6" t="s">
        <v>120</v>
      </c>
      <c r="F34" s="6">
        <v>22</v>
      </c>
      <c r="G34" s="6">
        <v>87521496</v>
      </c>
      <c r="H34" s="6">
        <v>14</v>
      </c>
      <c r="I34" s="6" t="s">
        <v>42</v>
      </c>
      <c r="J34" s="6" t="s">
        <v>59</v>
      </c>
      <c r="K34" s="7">
        <v>135000</v>
      </c>
      <c r="L34" s="6">
        <v>2</v>
      </c>
      <c r="M34" s="6" t="str">
        <f t="shared" ref="M34:M65" si="1">IF(L34&lt;2,"yes","no")</f>
        <v>no</v>
      </c>
      <c r="N34" s="8">
        <v>45840</v>
      </c>
      <c r="O34" s="6" t="s">
        <v>26</v>
      </c>
      <c r="P34" s="7">
        <v>35000</v>
      </c>
    </row>
    <row r="35" spans="1:16" x14ac:dyDescent="0.3">
      <c r="A35" s="6">
        <v>34</v>
      </c>
      <c r="B35" s="6">
        <v>1017</v>
      </c>
      <c r="C35" s="6" t="s">
        <v>121</v>
      </c>
      <c r="D35" s="6" t="s">
        <v>22</v>
      </c>
      <c r="E35" s="6" t="s">
        <v>122</v>
      </c>
      <c r="F35" s="6">
        <v>24</v>
      </c>
      <c r="G35" s="6">
        <v>12654783</v>
      </c>
      <c r="H35" s="6">
        <v>13</v>
      </c>
      <c r="I35" s="6" t="s">
        <v>33</v>
      </c>
      <c r="J35" s="6" t="s">
        <v>63</v>
      </c>
      <c r="K35" s="7">
        <v>125000</v>
      </c>
      <c r="L35" s="6">
        <v>3</v>
      </c>
      <c r="M35" s="6" t="str">
        <f t="shared" si="1"/>
        <v>no</v>
      </c>
      <c r="N35" s="8">
        <v>45840</v>
      </c>
      <c r="O35" s="6" t="s">
        <v>26</v>
      </c>
      <c r="P35" s="7">
        <v>30000</v>
      </c>
    </row>
    <row r="36" spans="1:16" x14ac:dyDescent="0.3">
      <c r="A36" s="6">
        <v>35</v>
      </c>
      <c r="B36" s="6">
        <v>1034</v>
      </c>
      <c r="C36" s="6" t="s">
        <v>123</v>
      </c>
      <c r="D36" s="6" t="s">
        <v>22</v>
      </c>
      <c r="E36" s="6" t="s">
        <v>124</v>
      </c>
      <c r="F36" s="6">
        <v>20</v>
      </c>
      <c r="G36" s="6">
        <v>94381652</v>
      </c>
      <c r="H36" s="6">
        <v>14</v>
      </c>
      <c r="I36" s="6" t="s">
        <v>38</v>
      </c>
      <c r="J36" s="6" t="s">
        <v>67</v>
      </c>
      <c r="K36" s="7">
        <v>115000</v>
      </c>
      <c r="L36" s="6">
        <v>2</v>
      </c>
      <c r="M36" s="6" t="str">
        <f t="shared" si="1"/>
        <v>no</v>
      </c>
      <c r="N36" s="8">
        <v>45841</v>
      </c>
      <c r="O36" s="6" t="s">
        <v>26</v>
      </c>
      <c r="P36" s="7">
        <v>25000</v>
      </c>
    </row>
    <row r="37" spans="1:16" x14ac:dyDescent="0.3">
      <c r="A37" s="6">
        <v>36</v>
      </c>
      <c r="B37" s="6">
        <v>1098</v>
      </c>
      <c r="C37" s="6" t="s">
        <v>125</v>
      </c>
      <c r="D37" s="6" t="s">
        <v>22</v>
      </c>
      <c r="E37" s="6" t="s">
        <v>126</v>
      </c>
      <c r="F37" s="6">
        <v>23</v>
      </c>
      <c r="G37" s="6">
        <v>58273164</v>
      </c>
      <c r="H37" s="6">
        <v>14</v>
      </c>
      <c r="I37" s="6" t="s">
        <v>54</v>
      </c>
      <c r="J37" s="6" t="s">
        <v>34</v>
      </c>
      <c r="K37" s="7">
        <v>85000</v>
      </c>
      <c r="L37" s="6">
        <v>3</v>
      </c>
      <c r="M37" s="6" t="str">
        <f t="shared" si="1"/>
        <v>no</v>
      </c>
      <c r="N37" s="8">
        <v>45841</v>
      </c>
      <c r="O37" s="6" t="s">
        <v>35</v>
      </c>
      <c r="P37" s="7">
        <v>0</v>
      </c>
    </row>
    <row r="38" spans="1:16" x14ac:dyDescent="0.3">
      <c r="A38" s="6">
        <v>37</v>
      </c>
      <c r="B38" s="6">
        <v>1089</v>
      </c>
      <c r="C38" s="6" t="s">
        <v>127</v>
      </c>
      <c r="D38" s="6" t="s">
        <v>22</v>
      </c>
      <c r="E38" s="6" t="s">
        <v>128</v>
      </c>
      <c r="F38" s="6">
        <v>23</v>
      </c>
      <c r="G38" s="6">
        <v>71495823</v>
      </c>
      <c r="H38" s="6">
        <v>15</v>
      </c>
      <c r="I38" s="6" t="s">
        <v>50</v>
      </c>
      <c r="J38" s="6" t="s">
        <v>39</v>
      </c>
      <c r="K38" s="7">
        <v>120000</v>
      </c>
      <c r="L38" s="6">
        <v>2</v>
      </c>
      <c r="M38" s="6" t="str">
        <f t="shared" si="1"/>
        <v>no</v>
      </c>
      <c r="N38" s="8">
        <v>45842</v>
      </c>
      <c r="O38" s="6" t="s">
        <v>26</v>
      </c>
      <c r="P38" s="7">
        <v>30000</v>
      </c>
    </row>
    <row r="39" spans="1:16" x14ac:dyDescent="0.3">
      <c r="A39" s="6">
        <v>38</v>
      </c>
      <c r="B39" s="6">
        <v>1088</v>
      </c>
      <c r="C39" s="6" t="s">
        <v>129</v>
      </c>
      <c r="D39" s="6" t="s">
        <v>22</v>
      </c>
      <c r="E39" s="6" t="s">
        <v>130</v>
      </c>
      <c r="F39" s="6">
        <v>20</v>
      </c>
      <c r="G39" s="6">
        <v>36812579</v>
      </c>
      <c r="H39" s="6">
        <v>11</v>
      </c>
      <c r="I39" s="6" t="s">
        <v>58</v>
      </c>
      <c r="J39" s="6" t="s">
        <v>43</v>
      </c>
      <c r="K39" s="7">
        <v>115000</v>
      </c>
      <c r="L39" s="6">
        <v>3</v>
      </c>
      <c r="M39" s="6" t="str">
        <f t="shared" si="1"/>
        <v>no</v>
      </c>
      <c r="N39" s="8">
        <v>45842</v>
      </c>
      <c r="O39" s="6" t="s">
        <v>35</v>
      </c>
      <c r="P39" s="7">
        <v>0</v>
      </c>
    </row>
    <row r="40" spans="1:16" x14ac:dyDescent="0.3">
      <c r="A40" s="6">
        <v>39</v>
      </c>
      <c r="B40" s="6">
        <v>1050</v>
      </c>
      <c r="C40" s="6" t="s">
        <v>131</v>
      </c>
      <c r="D40" s="6" t="s">
        <v>22</v>
      </c>
      <c r="E40" s="6" t="s">
        <v>132</v>
      </c>
      <c r="F40" s="6">
        <v>23</v>
      </c>
      <c r="G40" s="6">
        <v>89746215</v>
      </c>
      <c r="H40" s="6">
        <v>13</v>
      </c>
      <c r="I40" s="6" t="s">
        <v>62</v>
      </c>
      <c r="J40" s="6" t="s">
        <v>47</v>
      </c>
      <c r="K40" s="7">
        <v>118000</v>
      </c>
      <c r="L40" s="6">
        <v>0</v>
      </c>
      <c r="M40" s="6" t="str">
        <f t="shared" si="1"/>
        <v>yes</v>
      </c>
      <c r="N40" s="8">
        <v>45843</v>
      </c>
      <c r="O40" s="6" t="s">
        <v>26</v>
      </c>
      <c r="P40" s="7">
        <v>25000</v>
      </c>
    </row>
    <row r="41" spans="1:16" x14ac:dyDescent="0.3">
      <c r="A41" s="6">
        <v>40</v>
      </c>
      <c r="B41" s="6">
        <v>1008</v>
      </c>
      <c r="C41" s="6" t="s">
        <v>133</v>
      </c>
      <c r="D41" s="6" t="s">
        <v>22</v>
      </c>
      <c r="E41" s="6" t="s">
        <v>134</v>
      </c>
      <c r="F41" s="6">
        <v>22</v>
      </c>
      <c r="G41" s="6">
        <v>25179384</v>
      </c>
      <c r="H41" s="6">
        <v>15</v>
      </c>
      <c r="I41" s="6" t="s">
        <v>46</v>
      </c>
      <c r="J41" s="6" t="s">
        <v>51</v>
      </c>
      <c r="K41" s="7">
        <v>105000</v>
      </c>
      <c r="L41" s="6">
        <v>0</v>
      </c>
      <c r="M41" s="6" t="str">
        <f t="shared" si="1"/>
        <v>yes</v>
      </c>
      <c r="N41" s="8">
        <v>45843</v>
      </c>
      <c r="O41" s="6" t="s">
        <v>26</v>
      </c>
      <c r="P41" s="7">
        <v>20000</v>
      </c>
    </row>
    <row r="42" spans="1:16" x14ac:dyDescent="0.3">
      <c r="A42" s="6">
        <v>41</v>
      </c>
      <c r="B42" s="6">
        <v>1032</v>
      </c>
      <c r="C42" s="6" t="s">
        <v>135</v>
      </c>
      <c r="D42" s="6" t="s">
        <v>65</v>
      </c>
      <c r="E42" s="6" t="s">
        <v>136</v>
      </c>
      <c r="F42" s="6">
        <v>19</v>
      </c>
      <c r="G42" s="6">
        <v>67438591</v>
      </c>
      <c r="H42" s="6">
        <v>13</v>
      </c>
      <c r="I42" s="6" t="s">
        <v>24</v>
      </c>
      <c r="J42" s="6" t="s">
        <v>55</v>
      </c>
      <c r="K42" s="7">
        <v>130000</v>
      </c>
      <c r="L42" s="6">
        <v>3</v>
      </c>
      <c r="M42" s="6" t="str">
        <f t="shared" si="1"/>
        <v>no</v>
      </c>
      <c r="N42" s="8">
        <v>45844</v>
      </c>
      <c r="O42" s="6" t="s">
        <v>26</v>
      </c>
      <c r="P42" s="7">
        <v>35000</v>
      </c>
    </row>
    <row r="43" spans="1:16" x14ac:dyDescent="0.3">
      <c r="A43" s="6">
        <v>42</v>
      </c>
      <c r="B43" s="6">
        <v>1075</v>
      </c>
      <c r="C43" s="6" t="s">
        <v>137</v>
      </c>
      <c r="D43" s="6" t="s">
        <v>65</v>
      </c>
      <c r="E43" s="6" t="s">
        <v>138</v>
      </c>
      <c r="F43" s="6">
        <v>22</v>
      </c>
      <c r="G43" s="6">
        <v>93851724</v>
      </c>
      <c r="H43" s="6">
        <v>11</v>
      </c>
      <c r="I43" s="6" t="s">
        <v>29</v>
      </c>
      <c r="J43" s="6" t="s">
        <v>59</v>
      </c>
      <c r="K43" s="7">
        <v>135000</v>
      </c>
      <c r="L43" s="6">
        <v>3</v>
      </c>
      <c r="M43" s="6" t="str">
        <f t="shared" si="1"/>
        <v>no</v>
      </c>
      <c r="N43" s="8">
        <v>45844</v>
      </c>
      <c r="O43" s="6" t="s">
        <v>26</v>
      </c>
      <c r="P43" s="7">
        <v>35000</v>
      </c>
    </row>
    <row r="44" spans="1:16" x14ac:dyDescent="0.3">
      <c r="A44" s="6">
        <v>43</v>
      </c>
      <c r="B44" s="6">
        <v>1038</v>
      </c>
      <c r="C44" s="6" t="s">
        <v>139</v>
      </c>
      <c r="D44" s="6" t="s">
        <v>65</v>
      </c>
      <c r="E44" s="6" t="s">
        <v>140</v>
      </c>
      <c r="F44" s="6">
        <v>20</v>
      </c>
      <c r="G44" s="6">
        <v>14586937</v>
      </c>
      <c r="H44" s="6">
        <v>12</v>
      </c>
      <c r="I44" s="6" t="s">
        <v>38</v>
      </c>
      <c r="J44" s="6" t="s">
        <v>63</v>
      </c>
      <c r="K44" s="7">
        <v>125000</v>
      </c>
      <c r="L44" s="6">
        <v>2</v>
      </c>
      <c r="M44" s="6" t="str">
        <f t="shared" si="1"/>
        <v>no</v>
      </c>
      <c r="N44" s="8">
        <v>45845</v>
      </c>
      <c r="O44" s="6" t="s">
        <v>26</v>
      </c>
      <c r="P44" s="7">
        <v>30000</v>
      </c>
    </row>
    <row r="45" spans="1:16" x14ac:dyDescent="0.3">
      <c r="A45" s="6">
        <v>44</v>
      </c>
      <c r="B45" s="6">
        <v>1026</v>
      </c>
      <c r="C45" s="6" t="s">
        <v>141</v>
      </c>
      <c r="D45" s="6" t="s">
        <v>65</v>
      </c>
      <c r="E45" s="6" t="s">
        <v>142</v>
      </c>
      <c r="F45" s="6">
        <v>19</v>
      </c>
      <c r="G45" s="6">
        <v>78629415</v>
      </c>
      <c r="H45" s="6">
        <v>11</v>
      </c>
      <c r="I45" s="6" t="s">
        <v>33</v>
      </c>
      <c r="J45" s="6" t="s">
        <v>67</v>
      </c>
      <c r="K45" s="7">
        <v>115000</v>
      </c>
      <c r="L45" s="6">
        <v>3</v>
      </c>
      <c r="M45" s="6" t="str">
        <f t="shared" si="1"/>
        <v>no</v>
      </c>
      <c r="N45" s="8">
        <v>45845</v>
      </c>
      <c r="O45" s="6" t="s">
        <v>26</v>
      </c>
      <c r="P45" s="7">
        <v>25000</v>
      </c>
    </row>
    <row r="46" spans="1:16" x14ac:dyDescent="0.3">
      <c r="A46" s="6">
        <v>45</v>
      </c>
      <c r="B46" s="6">
        <v>1006</v>
      </c>
      <c r="C46" s="6" t="s">
        <v>143</v>
      </c>
      <c r="D46" s="6" t="s">
        <v>65</v>
      </c>
      <c r="E46" s="6" t="s">
        <v>144</v>
      </c>
      <c r="F46" s="6">
        <v>23</v>
      </c>
      <c r="G46" s="6">
        <v>32947168</v>
      </c>
      <c r="H46" s="6">
        <v>15</v>
      </c>
      <c r="I46" s="6" t="s">
        <v>42</v>
      </c>
      <c r="J46" s="6" t="s">
        <v>43</v>
      </c>
      <c r="K46" s="7">
        <v>115000</v>
      </c>
      <c r="L46" s="6">
        <v>2</v>
      </c>
      <c r="M46" s="6" t="str">
        <f t="shared" si="1"/>
        <v>no</v>
      </c>
      <c r="N46" s="8">
        <v>45846</v>
      </c>
      <c r="O46" s="6" t="s">
        <v>35</v>
      </c>
      <c r="P46" s="7">
        <v>0</v>
      </c>
    </row>
    <row r="47" spans="1:16" x14ac:dyDescent="0.3">
      <c r="A47" s="6">
        <v>46</v>
      </c>
      <c r="B47" s="6">
        <v>1028</v>
      </c>
      <c r="C47" s="6" t="s">
        <v>145</v>
      </c>
      <c r="D47" s="6" t="s">
        <v>65</v>
      </c>
      <c r="E47" s="6" t="s">
        <v>146</v>
      </c>
      <c r="F47" s="6">
        <v>18</v>
      </c>
      <c r="G47" s="6">
        <v>86175249</v>
      </c>
      <c r="H47" s="6">
        <v>15</v>
      </c>
      <c r="I47" s="6" t="s">
        <v>50</v>
      </c>
      <c r="J47" s="6" t="s">
        <v>47</v>
      </c>
      <c r="K47" s="7">
        <v>118000</v>
      </c>
      <c r="L47" s="6">
        <v>3</v>
      </c>
      <c r="M47" s="6" t="str">
        <f t="shared" si="1"/>
        <v>no</v>
      </c>
      <c r="N47" s="8">
        <v>45846</v>
      </c>
      <c r="O47" s="6" t="s">
        <v>26</v>
      </c>
      <c r="P47" s="7">
        <v>25000</v>
      </c>
    </row>
    <row r="48" spans="1:16" x14ac:dyDescent="0.3">
      <c r="A48" s="6">
        <v>47</v>
      </c>
      <c r="B48" s="6">
        <v>1059</v>
      </c>
      <c r="C48" s="6" t="s">
        <v>147</v>
      </c>
      <c r="D48" s="6" t="s">
        <v>65</v>
      </c>
      <c r="E48" s="6" t="s">
        <v>148</v>
      </c>
      <c r="F48" s="6">
        <v>24</v>
      </c>
      <c r="G48" s="6">
        <v>49713682</v>
      </c>
      <c r="H48" s="6">
        <v>14</v>
      </c>
      <c r="I48" s="6" t="s">
        <v>54</v>
      </c>
      <c r="J48" s="6" t="s">
        <v>51</v>
      </c>
      <c r="K48" s="7">
        <v>105000</v>
      </c>
      <c r="L48" s="6">
        <v>3</v>
      </c>
      <c r="M48" s="6" t="str">
        <f t="shared" si="1"/>
        <v>no</v>
      </c>
      <c r="N48" s="8">
        <v>45847</v>
      </c>
      <c r="O48" s="6" t="s">
        <v>26</v>
      </c>
      <c r="P48" s="7">
        <v>20000</v>
      </c>
    </row>
    <row r="49" spans="1:16" x14ac:dyDescent="0.3">
      <c r="A49" s="6">
        <v>48</v>
      </c>
      <c r="B49" s="6">
        <v>1068</v>
      </c>
      <c r="C49" s="6" t="s">
        <v>149</v>
      </c>
      <c r="D49" s="6" t="s">
        <v>65</v>
      </c>
      <c r="E49" s="6" t="s">
        <v>150</v>
      </c>
      <c r="F49" s="6">
        <v>23</v>
      </c>
      <c r="G49" s="6">
        <v>21598473</v>
      </c>
      <c r="H49" s="6">
        <v>12</v>
      </c>
      <c r="I49" s="6" t="s">
        <v>46</v>
      </c>
      <c r="J49" s="6" t="s">
        <v>55</v>
      </c>
      <c r="K49" s="7">
        <v>130000</v>
      </c>
      <c r="L49" s="6">
        <v>3</v>
      </c>
      <c r="M49" s="6" t="str">
        <f t="shared" si="1"/>
        <v>no</v>
      </c>
      <c r="N49" s="8">
        <v>45847</v>
      </c>
      <c r="O49" s="6" t="s">
        <v>26</v>
      </c>
      <c r="P49" s="7">
        <v>35000</v>
      </c>
    </row>
    <row r="50" spans="1:16" x14ac:dyDescent="0.3">
      <c r="A50" s="6">
        <v>49</v>
      </c>
      <c r="B50" s="6">
        <v>1024</v>
      </c>
      <c r="C50" s="6" t="s">
        <v>151</v>
      </c>
      <c r="D50" s="6" t="s">
        <v>65</v>
      </c>
      <c r="E50" s="6" t="s">
        <v>152</v>
      </c>
      <c r="F50" s="6">
        <v>24</v>
      </c>
      <c r="G50" s="6">
        <v>75362814</v>
      </c>
      <c r="H50" s="6">
        <v>13</v>
      </c>
      <c r="I50" s="6" t="s">
        <v>62</v>
      </c>
      <c r="J50" s="6" t="s">
        <v>59</v>
      </c>
      <c r="K50" s="7">
        <v>135000</v>
      </c>
      <c r="L50" s="6">
        <v>3</v>
      </c>
      <c r="M50" s="6" t="str">
        <f t="shared" si="1"/>
        <v>no</v>
      </c>
      <c r="N50" s="8">
        <v>45848</v>
      </c>
      <c r="O50" s="6" t="s">
        <v>26</v>
      </c>
      <c r="P50" s="7">
        <v>35000</v>
      </c>
    </row>
    <row r="51" spans="1:16" x14ac:dyDescent="0.3">
      <c r="A51" s="6">
        <v>50</v>
      </c>
      <c r="B51" s="6">
        <v>1090</v>
      </c>
      <c r="C51" s="6" t="s">
        <v>153</v>
      </c>
      <c r="D51" s="6" t="s">
        <v>65</v>
      </c>
      <c r="E51" s="6" t="s">
        <v>154</v>
      </c>
      <c r="F51" s="6">
        <v>19</v>
      </c>
      <c r="G51" s="6">
        <v>68472591</v>
      </c>
      <c r="H51" s="6">
        <v>12</v>
      </c>
      <c r="I51" s="6" t="s">
        <v>58</v>
      </c>
      <c r="J51" s="6" t="s">
        <v>63</v>
      </c>
      <c r="K51" s="7">
        <v>125000</v>
      </c>
      <c r="L51" s="6">
        <v>2</v>
      </c>
      <c r="M51" s="6" t="str">
        <f t="shared" si="1"/>
        <v>no</v>
      </c>
      <c r="N51" s="8">
        <v>45848</v>
      </c>
      <c r="O51" s="6" t="s">
        <v>26</v>
      </c>
      <c r="P51" s="7">
        <v>30000</v>
      </c>
    </row>
    <row r="52" spans="1:16" x14ac:dyDescent="0.3">
      <c r="A52" s="6">
        <v>51</v>
      </c>
      <c r="B52" s="6">
        <v>1086</v>
      </c>
      <c r="C52" s="6" t="s">
        <v>155</v>
      </c>
      <c r="D52" s="6" t="s">
        <v>65</v>
      </c>
      <c r="E52" s="6" t="s">
        <v>156</v>
      </c>
      <c r="F52" s="6">
        <v>23</v>
      </c>
      <c r="G52" s="6">
        <v>91725834</v>
      </c>
      <c r="H52" s="6">
        <v>14</v>
      </c>
      <c r="I52" s="6" t="s">
        <v>24</v>
      </c>
      <c r="J52" s="6" t="s">
        <v>67</v>
      </c>
      <c r="K52" s="7">
        <v>115000</v>
      </c>
      <c r="L52" s="6">
        <v>3</v>
      </c>
      <c r="M52" s="6" t="str">
        <f t="shared" si="1"/>
        <v>no</v>
      </c>
      <c r="N52" s="8">
        <v>45849</v>
      </c>
      <c r="O52" s="6" t="s">
        <v>26</v>
      </c>
      <c r="P52" s="7">
        <v>25000</v>
      </c>
    </row>
    <row r="53" spans="1:16" x14ac:dyDescent="0.3">
      <c r="A53" s="6">
        <v>52</v>
      </c>
      <c r="B53" s="6">
        <v>1020</v>
      </c>
      <c r="C53" s="6" t="s">
        <v>157</v>
      </c>
      <c r="D53" s="6" t="s">
        <v>65</v>
      </c>
      <c r="E53" s="6" t="s">
        <v>158</v>
      </c>
      <c r="F53" s="6">
        <v>25</v>
      </c>
      <c r="G53" s="6">
        <v>43857216</v>
      </c>
      <c r="H53" s="6">
        <v>14</v>
      </c>
      <c r="I53" s="6" t="s">
        <v>42</v>
      </c>
      <c r="J53" s="6" t="s">
        <v>70</v>
      </c>
      <c r="K53" s="7">
        <v>120000</v>
      </c>
      <c r="L53" s="6">
        <v>3</v>
      </c>
      <c r="M53" s="6" t="str">
        <f t="shared" si="1"/>
        <v>no</v>
      </c>
      <c r="N53" s="8">
        <v>45849</v>
      </c>
      <c r="O53" s="6" t="s">
        <v>26</v>
      </c>
      <c r="P53" s="7">
        <v>20000</v>
      </c>
    </row>
    <row r="54" spans="1:16" x14ac:dyDescent="0.3">
      <c r="A54" s="6">
        <v>53</v>
      </c>
      <c r="B54" s="6">
        <v>1082</v>
      </c>
      <c r="C54" s="6" t="s">
        <v>159</v>
      </c>
      <c r="D54" s="6" t="s">
        <v>65</v>
      </c>
      <c r="E54" s="6" t="s">
        <v>160</v>
      </c>
      <c r="F54" s="6">
        <v>20</v>
      </c>
      <c r="G54" s="6">
        <v>26514987</v>
      </c>
      <c r="H54" s="6">
        <v>14</v>
      </c>
      <c r="I54" s="6" t="s">
        <v>29</v>
      </c>
      <c r="J54" s="6" t="s">
        <v>39</v>
      </c>
      <c r="K54" s="7">
        <v>120000</v>
      </c>
      <c r="L54" s="6">
        <v>2</v>
      </c>
      <c r="M54" s="6" t="str">
        <f t="shared" si="1"/>
        <v>no</v>
      </c>
      <c r="N54" s="8">
        <v>45850</v>
      </c>
      <c r="O54" s="6" t="s">
        <v>26</v>
      </c>
      <c r="P54" s="7">
        <v>30000</v>
      </c>
    </row>
    <row r="55" spans="1:16" x14ac:dyDescent="0.3">
      <c r="A55" s="6">
        <v>54</v>
      </c>
      <c r="B55" s="6">
        <v>1055</v>
      </c>
      <c r="C55" s="6" t="s">
        <v>161</v>
      </c>
      <c r="D55" s="6" t="s">
        <v>65</v>
      </c>
      <c r="E55" s="6" t="s">
        <v>162</v>
      </c>
      <c r="F55" s="6">
        <v>21</v>
      </c>
      <c r="G55" s="6">
        <v>87439152</v>
      </c>
      <c r="H55" s="6">
        <v>14</v>
      </c>
      <c r="I55" s="6" t="s">
        <v>33</v>
      </c>
      <c r="J55" s="6" t="s">
        <v>43</v>
      </c>
      <c r="K55" s="7">
        <v>115000</v>
      </c>
      <c r="L55" s="6">
        <v>2</v>
      </c>
      <c r="M55" s="6" t="str">
        <f t="shared" si="1"/>
        <v>no</v>
      </c>
      <c r="N55" s="8">
        <v>45850</v>
      </c>
      <c r="O55" s="6" t="s">
        <v>35</v>
      </c>
      <c r="P55" s="7">
        <v>0</v>
      </c>
    </row>
    <row r="56" spans="1:16" x14ac:dyDescent="0.3">
      <c r="A56" s="6">
        <v>55</v>
      </c>
      <c r="B56" s="6">
        <v>1069</v>
      </c>
      <c r="C56" s="6" t="s">
        <v>163</v>
      </c>
      <c r="D56" s="6" t="s">
        <v>65</v>
      </c>
      <c r="E56" s="6" t="s">
        <v>164</v>
      </c>
      <c r="F56" s="6">
        <v>22</v>
      </c>
      <c r="G56" s="6">
        <v>53182749</v>
      </c>
      <c r="H56" s="6">
        <v>14</v>
      </c>
      <c r="I56" s="6" t="s">
        <v>38</v>
      </c>
      <c r="J56" s="6" t="s">
        <v>47</v>
      </c>
      <c r="K56" s="7">
        <v>118000</v>
      </c>
      <c r="L56" s="6">
        <v>2</v>
      </c>
      <c r="M56" s="6" t="str">
        <f t="shared" si="1"/>
        <v>no</v>
      </c>
      <c r="N56" s="8">
        <v>45851</v>
      </c>
      <c r="O56" s="6" t="s">
        <v>26</v>
      </c>
      <c r="P56" s="7">
        <v>25000</v>
      </c>
    </row>
    <row r="57" spans="1:16" x14ac:dyDescent="0.3">
      <c r="A57" s="6">
        <v>56</v>
      </c>
      <c r="B57" s="6">
        <v>1042</v>
      </c>
      <c r="C57" s="6" t="s">
        <v>165</v>
      </c>
      <c r="D57" s="6" t="s">
        <v>65</v>
      </c>
      <c r="E57" s="6" t="s">
        <v>166</v>
      </c>
      <c r="F57" s="6">
        <v>21</v>
      </c>
      <c r="G57" s="6">
        <v>79261538</v>
      </c>
      <c r="H57" s="6">
        <v>13</v>
      </c>
      <c r="I57" s="6" t="s">
        <v>58</v>
      </c>
      <c r="J57" s="6" t="s">
        <v>51</v>
      </c>
      <c r="K57" s="7">
        <v>105000</v>
      </c>
      <c r="L57" s="6">
        <v>3</v>
      </c>
      <c r="M57" s="6" t="str">
        <f t="shared" si="1"/>
        <v>no</v>
      </c>
      <c r="N57" s="8">
        <v>45851</v>
      </c>
      <c r="O57" s="6" t="s">
        <v>26</v>
      </c>
      <c r="P57" s="7">
        <v>20000</v>
      </c>
    </row>
    <row r="58" spans="1:16" x14ac:dyDescent="0.3">
      <c r="A58" s="6">
        <v>57</v>
      </c>
      <c r="B58" s="6">
        <v>1085</v>
      </c>
      <c r="C58" s="6" t="s">
        <v>167</v>
      </c>
      <c r="D58" s="6" t="s">
        <v>65</v>
      </c>
      <c r="E58" s="6" t="s">
        <v>168</v>
      </c>
      <c r="F58" s="6">
        <v>19</v>
      </c>
      <c r="G58" s="6">
        <v>14697325</v>
      </c>
      <c r="H58" s="6">
        <v>12</v>
      </c>
      <c r="I58" s="6" t="s">
        <v>50</v>
      </c>
      <c r="J58" s="6" t="s">
        <v>55</v>
      </c>
      <c r="K58" s="7">
        <v>130000</v>
      </c>
      <c r="L58" s="6">
        <v>3</v>
      </c>
      <c r="M58" s="6" t="str">
        <f t="shared" si="1"/>
        <v>no</v>
      </c>
      <c r="N58" s="8">
        <v>45852</v>
      </c>
      <c r="O58" s="6" t="s">
        <v>26</v>
      </c>
      <c r="P58" s="7">
        <v>35000</v>
      </c>
    </row>
    <row r="59" spans="1:16" x14ac:dyDescent="0.3">
      <c r="A59" s="6">
        <v>58</v>
      </c>
      <c r="B59" s="6">
        <v>1067</v>
      </c>
      <c r="C59" s="6" t="s">
        <v>169</v>
      </c>
      <c r="D59" s="6" t="s">
        <v>65</v>
      </c>
      <c r="E59" s="6" t="s">
        <v>170</v>
      </c>
      <c r="F59" s="6">
        <v>21</v>
      </c>
      <c r="G59" s="6">
        <v>95824176</v>
      </c>
      <c r="H59" s="6">
        <v>12</v>
      </c>
      <c r="I59" s="6" t="s">
        <v>54</v>
      </c>
      <c r="J59" s="6" t="s">
        <v>59</v>
      </c>
      <c r="K59" s="7">
        <v>135000</v>
      </c>
      <c r="L59" s="6">
        <v>0</v>
      </c>
      <c r="M59" s="6" t="str">
        <f t="shared" si="1"/>
        <v>yes</v>
      </c>
      <c r="N59" s="8">
        <v>45852</v>
      </c>
      <c r="O59" s="6" t="s">
        <v>26</v>
      </c>
      <c r="P59" s="7">
        <v>35000</v>
      </c>
    </row>
    <row r="60" spans="1:16" x14ac:dyDescent="0.3">
      <c r="A60" s="6">
        <v>59</v>
      </c>
      <c r="B60" s="6">
        <v>1030</v>
      </c>
      <c r="C60" s="6" t="s">
        <v>171</v>
      </c>
      <c r="D60" s="6" t="s">
        <v>65</v>
      </c>
      <c r="E60" s="6" t="s">
        <v>172</v>
      </c>
      <c r="F60" s="6">
        <v>21</v>
      </c>
      <c r="G60" s="6">
        <v>32768491</v>
      </c>
      <c r="H60" s="6">
        <v>14</v>
      </c>
      <c r="I60" s="6" t="s">
        <v>62</v>
      </c>
      <c r="J60" s="6" t="s">
        <v>63</v>
      </c>
      <c r="K60" s="7">
        <v>125000</v>
      </c>
      <c r="L60" s="6">
        <v>2</v>
      </c>
      <c r="M60" s="6" t="str">
        <f t="shared" si="1"/>
        <v>no</v>
      </c>
      <c r="N60" s="8">
        <v>45853</v>
      </c>
      <c r="O60" s="6" t="s">
        <v>26</v>
      </c>
      <c r="P60" s="7">
        <v>30000</v>
      </c>
    </row>
    <row r="61" spans="1:16" x14ac:dyDescent="0.3">
      <c r="A61" s="6">
        <v>60</v>
      </c>
      <c r="B61" s="6">
        <v>1061</v>
      </c>
      <c r="C61" s="6" t="s">
        <v>173</v>
      </c>
      <c r="D61" s="6" t="s">
        <v>65</v>
      </c>
      <c r="E61" s="6" t="s">
        <v>174</v>
      </c>
      <c r="F61" s="6">
        <v>18</v>
      </c>
      <c r="G61" s="6">
        <v>68591743</v>
      </c>
      <c r="H61" s="6">
        <v>14</v>
      </c>
      <c r="I61" s="6" t="s">
        <v>46</v>
      </c>
      <c r="J61" s="6" t="s">
        <v>67</v>
      </c>
      <c r="K61" s="7">
        <v>115000</v>
      </c>
      <c r="L61" s="6">
        <v>2</v>
      </c>
      <c r="M61" s="6" t="str">
        <f t="shared" si="1"/>
        <v>no</v>
      </c>
      <c r="N61" s="8">
        <v>45853</v>
      </c>
      <c r="O61" s="6" t="s">
        <v>26</v>
      </c>
      <c r="P61" s="7">
        <v>25000</v>
      </c>
    </row>
    <row r="62" spans="1:16" x14ac:dyDescent="0.3">
      <c r="A62" s="6">
        <v>61</v>
      </c>
      <c r="B62" s="6">
        <v>1019</v>
      </c>
      <c r="C62" s="6" t="s">
        <v>175</v>
      </c>
      <c r="D62" s="6" t="s">
        <v>22</v>
      </c>
      <c r="E62" s="6" t="s">
        <v>176</v>
      </c>
      <c r="F62" s="6">
        <v>23</v>
      </c>
      <c r="G62" s="6">
        <v>41973682</v>
      </c>
      <c r="H62" s="6">
        <v>12</v>
      </c>
      <c r="I62" s="6" t="s">
        <v>29</v>
      </c>
      <c r="J62" s="6" t="s">
        <v>85</v>
      </c>
      <c r="K62" s="7">
        <v>70000</v>
      </c>
      <c r="L62" s="6">
        <v>2</v>
      </c>
      <c r="M62" s="6" t="str">
        <f t="shared" si="1"/>
        <v>no</v>
      </c>
      <c r="N62" s="8">
        <v>45854</v>
      </c>
      <c r="O62" s="6" t="s">
        <v>26</v>
      </c>
      <c r="P62" s="7">
        <v>15000</v>
      </c>
    </row>
    <row r="63" spans="1:16" x14ac:dyDescent="0.3">
      <c r="A63" s="6">
        <v>62</v>
      </c>
      <c r="B63" s="6">
        <v>1035</v>
      </c>
      <c r="C63" s="6" t="s">
        <v>177</v>
      </c>
      <c r="D63" s="6" t="s">
        <v>22</v>
      </c>
      <c r="E63" s="6" t="s">
        <v>178</v>
      </c>
      <c r="F63" s="6">
        <v>20</v>
      </c>
      <c r="G63" s="6">
        <v>87324516</v>
      </c>
      <c r="H63" s="6">
        <v>11</v>
      </c>
      <c r="I63" s="6" t="s">
        <v>24</v>
      </c>
      <c r="J63" s="6" t="s">
        <v>73</v>
      </c>
      <c r="K63" s="7">
        <v>80000</v>
      </c>
      <c r="L63" s="6">
        <v>0</v>
      </c>
      <c r="M63" s="6" t="str">
        <f t="shared" si="1"/>
        <v>yes</v>
      </c>
      <c r="N63" s="8">
        <v>45854</v>
      </c>
      <c r="O63" s="6" t="s">
        <v>35</v>
      </c>
      <c r="P63" s="7">
        <v>0</v>
      </c>
    </row>
    <row r="64" spans="1:16" x14ac:dyDescent="0.3">
      <c r="A64" s="6">
        <v>63</v>
      </c>
      <c r="B64" s="6">
        <v>1036</v>
      </c>
      <c r="C64" s="6" t="s">
        <v>179</v>
      </c>
      <c r="D64" s="6" t="s">
        <v>22</v>
      </c>
      <c r="E64" s="6" t="s">
        <v>180</v>
      </c>
      <c r="F64" s="6">
        <v>23</v>
      </c>
      <c r="G64" s="6">
        <v>25486197</v>
      </c>
      <c r="H64" s="6">
        <v>15</v>
      </c>
      <c r="I64" s="6" t="s">
        <v>33</v>
      </c>
      <c r="J64" s="6" t="s">
        <v>76</v>
      </c>
      <c r="K64" s="7">
        <v>90000</v>
      </c>
      <c r="L64" s="6">
        <v>3</v>
      </c>
      <c r="M64" s="6" t="str">
        <f t="shared" si="1"/>
        <v>no</v>
      </c>
      <c r="N64" s="8">
        <v>45855</v>
      </c>
      <c r="O64" s="6" t="s">
        <v>35</v>
      </c>
      <c r="P64" s="7">
        <v>0</v>
      </c>
    </row>
    <row r="65" spans="1:16" x14ac:dyDescent="0.3">
      <c r="A65" s="6">
        <v>64</v>
      </c>
      <c r="B65" s="6">
        <v>1012</v>
      </c>
      <c r="C65" s="6" t="s">
        <v>181</v>
      </c>
      <c r="D65" s="6" t="s">
        <v>22</v>
      </c>
      <c r="E65" s="6" t="s">
        <v>182</v>
      </c>
      <c r="F65" s="6">
        <v>24</v>
      </c>
      <c r="G65" s="6">
        <v>71639284</v>
      </c>
      <c r="H65" s="6">
        <v>12</v>
      </c>
      <c r="I65" s="6" t="s">
        <v>42</v>
      </c>
      <c r="J65" s="6" t="s">
        <v>25</v>
      </c>
      <c r="K65" s="7">
        <v>95000</v>
      </c>
      <c r="L65" s="6">
        <v>3</v>
      </c>
      <c r="M65" s="6" t="str">
        <f t="shared" si="1"/>
        <v>no</v>
      </c>
      <c r="N65" s="8">
        <v>45855</v>
      </c>
      <c r="O65" s="6" t="s">
        <v>26</v>
      </c>
      <c r="P65" s="7">
        <v>20000</v>
      </c>
    </row>
    <row r="66" spans="1:16" x14ac:dyDescent="0.3">
      <c r="A66" s="6">
        <v>65</v>
      </c>
      <c r="B66" s="6">
        <v>1044</v>
      </c>
      <c r="C66" s="6" t="s">
        <v>183</v>
      </c>
      <c r="D66" s="6" t="s">
        <v>22</v>
      </c>
      <c r="E66" s="6" t="s">
        <v>184</v>
      </c>
      <c r="F66" s="6">
        <v>25</v>
      </c>
      <c r="G66" s="6">
        <v>94817523</v>
      </c>
      <c r="H66" s="6">
        <v>11</v>
      </c>
      <c r="I66" s="6" t="s">
        <v>38</v>
      </c>
      <c r="J66" s="6" t="s">
        <v>30</v>
      </c>
      <c r="K66" s="7">
        <v>110000</v>
      </c>
      <c r="L66" s="6">
        <v>2</v>
      </c>
      <c r="M66" s="6" t="str">
        <f t="shared" ref="M66:M97" si="2">IF(L66&lt;2,"yes","no")</f>
        <v>no</v>
      </c>
      <c r="N66" s="8">
        <v>45856</v>
      </c>
      <c r="O66" s="6" t="s">
        <v>26</v>
      </c>
      <c r="P66" s="7">
        <v>25000</v>
      </c>
    </row>
    <row r="67" spans="1:16" x14ac:dyDescent="0.3">
      <c r="A67" s="6">
        <v>66</v>
      </c>
      <c r="B67" s="6">
        <v>1010</v>
      </c>
      <c r="C67" s="6" t="s">
        <v>185</v>
      </c>
      <c r="D67" s="6" t="s">
        <v>22</v>
      </c>
      <c r="E67" s="6" t="s">
        <v>186</v>
      </c>
      <c r="F67" s="6">
        <v>18</v>
      </c>
      <c r="G67" s="6">
        <v>36572841</v>
      </c>
      <c r="H67" s="6">
        <v>12</v>
      </c>
      <c r="I67" s="6" t="s">
        <v>50</v>
      </c>
      <c r="J67" s="6" t="s">
        <v>34</v>
      </c>
      <c r="K67" s="7">
        <v>85000</v>
      </c>
      <c r="L67" s="6">
        <v>3</v>
      </c>
      <c r="M67" s="6" t="str">
        <f t="shared" si="2"/>
        <v>no</v>
      </c>
      <c r="N67" s="8">
        <v>45856</v>
      </c>
      <c r="O67" s="6" t="s">
        <v>35</v>
      </c>
      <c r="P67" s="7">
        <v>0</v>
      </c>
    </row>
    <row r="68" spans="1:16" x14ac:dyDescent="0.3">
      <c r="A68" s="6">
        <v>67</v>
      </c>
      <c r="B68" s="6">
        <v>1097</v>
      </c>
      <c r="C68" s="6" t="s">
        <v>187</v>
      </c>
      <c r="D68" s="6" t="s">
        <v>22</v>
      </c>
      <c r="E68" s="6" t="s">
        <v>188</v>
      </c>
      <c r="F68" s="6">
        <v>18</v>
      </c>
      <c r="G68" s="6">
        <v>82154976</v>
      </c>
      <c r="H68" s="6">
        <v>11</v>
      </c>
      <c r="I68" s="6" t="s">
        <v>46</v>
      </c>
      <c r="J68" s="6" t="s">
        <v>39</v>
      </c>
      <c r="K68" s="7">
        <v>120000</v>
      </c>
      <c r="L68" s="6">
        <v>2</v>
      </c>
      <c r="M68" s="6" t="str">
        <f t="shared" si="2"/>
        <v>no</v>
      </c>
      <c r="N68" s="8">
        <v>45857</v>
      </c>
      <c r="O68" s="6" t="s">
        <v>26</v>
      </c>
      <c r="P68" s="7">
        <v>30000</v>
      </c>
    </row>
    <row r="69" spans="1:16" x14ac:dyDescent="0.3">
      <c r="A69" s="6">
        <v>68</v>
      </c>
      <c r="B69" s="6">
        <v>1049</v>
      </c>
      <c r="C69" s="6" t="s">
        <v>189</v>
      </c>
      <c r="D69" s="6" t="s">
        <v>22</v>
      </c>
      <c r="E69" s="6" t="s">
        <v>190</v>
      </c>
      <c r="F69" s="6">
        <v>21</v>
      </c>
      <c r="G69" s="6">
        <v>59736184</v>
      </c>
      <c r="H69" s="6">
        <v>13</v>
      </c>
      <c r="I69" s="6" t="s">
        <v>58</v>
      </c>
      <c r="J69" s="6" t="s">
        <v>43</v>
      </c>
      <c r="K69" s="7">
        <v>115000</v>
      </c>
      <c r="L69" s="6">
        <v>0</v>
      </c>
      <c r="M69" s="6" t="str">
        <f t="shared" si="2"/>
        <v>yes</v>
      </c>
      <c r="N69" s="8">
        <v>45857</v>
      </c>
      <c r="O69" s="6" t="s">
        <v>35</v>
      </c>
      <c r="P69" s="7">
        <v>0</v>
      </c>
    </row>
    <row r="70" spans="1:16" x14ac:dyDescent="0.3">
      <c r="A70" s="6">
        <v>69</v>
      </c>
      <c r="B70" s="6">
        <v>1046</v>
      </c>
      <c r="C70" s="6" t="s">
        <v>191</v>
      </c>
      <c r="D70" s="6" t="s">
        <v>22</v>
      </c>
      <c r="E70" s="6" t="s">
        <v>192</v>
      </c>
      <c r="F70" s="6">
        <v>23</v>
      </c>
      <c r="G70" s="6">
        <v>13278495</v>
      </c>
      <c r="H70" s="6">
        <v>14</v>
      </c>
      <c r="I70" s="6" t="s">
        <v>54</v>
      </c>
      <c r="J70" s="6" t="s">
        <v>47</v>
      </c>
      <c r="K70" s="7">
        <v>118000</v>
      </c>
      <c r="L70" s="6">
        <v>3</v>
      </c>
      <c r="M70" s="6" t="str">
        <f t="shared" si="2"/>
        <v>no</v>
      </c>
      <c r="N70" s="8">
        <v>45858</v>
      </c>
      <c r="O70" s="6" t="s">
        <v>26</v>
      </c>
      <c r="P70" s="7">
        <v>25000</v>
      </c>
    </row>
    <row r="71" spans="1:16" x14ac:dyDescent="0.3">
      <c r="A71" s="6">
        <v>70</v>
      </c>
      <c r="B71" s="6">
        <v>1045</v>
      </c>
      <c r="C71" s="6" t="s">
        <v>193</v>
      </c>
      <c r="D71" s="6" t="s">
        <v>22</v>
      </c>
      <c r="E71" s="6" t="s">
        <v>194</v>
      </c>
      <c r="F71" s="6">
        <v>18</v>
      </c>
      <c r="G71" s="6">
        <v>76481925</v>
      </c>
      <c r="H71" s="6">
        <v>15</v>
      </c>
      <c r="I71" s="6" t="s">
        <v>62</v>
      </c>
      <c r="J71" s="6" t="s">
        <v>51</v>
      </c>
      <c r="K71" s="7">
        <v>105000</v>
      </c>
      <c r="L71" s="6">
        <v>3</v>
      </c>
      <c r="M71" s="6" t="str">
        <f t="shared" si="2"/>
        <v>no</v>
      </c>
      <c r="N71" s="8">
        <v>45858</v>
      </c>
      <c r="O71" s="6" t="s">
        <v>26</v>
      </c>
      <c r="P71" s="7">
        <v>20000</v>
      </c>
    </row>
    <row r="72" spans="1:16" x14ac:dyDescent="0.3">
      <c r="A72" s="6">
        <v>71</v>
      </c>
      <c r="B72" s="6">
        <v>1033</v>
      </c>
      <c r="C72" s="6" t="s">
        <v>195</v>
      </c>
      <c r="D72" s="6" t="s">
        <v>22</v>
      </c>
      <c r="E72" s="6" t="s">
        <v>196</v>
      </c>
      <c r="F72" s="6">
        <v>22</v>
      </c>
      <c r="G72" s="6">
        <v>28954371</v>
      </c>
      <c r="H72" s="6">
        <v>13</v>
      </c>
      <c r="I72" s="6" t="s">
        <v>24</v>
      </c>
      <c r="J72" s="6" t="s">
        <v>55</v>
      </c>
      <c r="K72" s="7">
        <v>130000</v>
      </c>
      <c r="L72" s="6">
        <v>3</v>
      </c>
      <c r="M72" s="6" t="str">
        <f t="shared" si="2"/>
        <v>no</v>
      </c>
      <c r="N72" s="8">
        <v>45859</v>
      </c>
      <c r="O72" s="6" t="s">
        <v>26</v>
      </c>
      <c r="P72" s="7">
        <v>35000</v>
      </c>
    </row>
    <row r="73" spans="1:16" x14ac:dyDescent="0.3">
      <c r="A73" s="6">
        <v>72</v>
      </c>
      <c r="B73" s="6">
        <v>1051</v>
      </c>
      <c r="C73" s="6" t="s">
        <v>197</v>
      </c>
      <c r="D73" s="6" t="s">
        <v>22</v>
      </c>
      <c r="E73" s="6" t="s">
        <v>198</v>
      </c>
      <c r="F73" s="6">
        <v>22</v>
      </c>
      <c r="G73" s="6">
        <v>91567248</v>
      </c>
      <c r="H73" s="6">
        <v>13</v>
      </c>
      <c r="I73" s="6" t="s">
        <v>29</v>
      </c>
      <c r="J73" s="6" t="s">
        <v>59</v>
      </c>
      <c r="K73" s="7">
        <v>135000</v>
      </c>
      <c r="L73" s="6">
        <v>2</v>
      </c>
      <c r="M73" s="6" t="str">
        <f t="shared" si="2"/>
        <v>no</v>
      </c>
      <c r="N73" s="8">
        <v>45859</v>
      </c>
      <c r="O73" s="6" t="s">
        <v>26</v>
      </c>
      <c r="P73" s="7">
        <v>35000</v>
      </c>
    </row>
    <row r="74" spans="1:16" x14ac:dyDescent="0.3">
      <c r="A74" s="6">
        <v>73</v>
      </c>
      <c r="B74" s="6">
        <v>1027</v>
      </c>
      <c r="C74" s="6" t="s">
        <v>199</v>
      </c>
      <c r="D74" s="6" t="s">
        <v>22</v>
      </c>
      <c r="E74" s="6" t="s">
        <v>200</v>
      </c>
      <c r="F74" s="6">
        <v>25</v>
      </c>
      <c r="G74" s="6">
        <v>34625819</v>
      </c>
      <c r="H74" s="6">
        <v>11</v>
      </c>
      <c r="I74" s="6" t="s">
        <v>42</v>
      </c>
      <c r="J74" s="6" t="s">
        <v>63</v>
      </c>
      <c r="K74" s="7">
        <v>125000</v>
      </c>
      <c r="L74" s="6">
        <v>2</v>
      </c>
      <c r="M74" s="6" t="str">
        <f t="shared" si="2"/>
        <v>no</v>
      </c>
      <c r="N74" s="8">
        <v>45860</v>
      </c>
      <c r="O74" s="6" t="s">
        <v>26</v>
      </c>
      <c r="P74" s="7">
        <v>30000</v>
      </c>
    </row>
    <row r="75" spans="1:16" x14ac:dyDescent="0.3">
      <c r="A75" s="6">
        <v>74</v>
      </c>
      <c r="B75" s="6">
        <v>1099</v>
      </c>
      <c r="C75" s="6" t="s">
        <v>201</v>
      </c>
      <c r="D75" s="6" t="s">
        <v>22</v>
      </c>
      <c r="E75" s="6" t="s">
        <v>202</v>
      </c>
      <c r="F75" s="6">
        <v>19</v>
      </c>
      <c r="G75" s="6">
        <v>87193462</v>
      </c>
      <c r="H75" s="6">
        <v>14</v>
      </c>
      <c r="I75" s="6" t="s">
        <v>33</v>
      </c>
      <c r="J75" s="6" t="s">
        <v>67</v>
      </c>
      <c r="K75" s="7">
        <v>115000</v>
      </c>
      <c r="L75" s="6">
        <v>2</v>
      </c>
      <c r="M75" s="6" t="str">
        <f t="shared" si="2"/>
        <v>no</v>
      </c>
      <c r="N75" s="8">
        <v>45860</v>
      </c>
      <c r="O75" s="6" t="s">
        <v>26</v>
      </c>
      <c r="P75" s="7">
        <v>25000</v>
      </c>
    </row>
    <row r="76" spans="1:16" x14ac:dyDescent="0.3">
      <c r="A76" s="6">
        <v>75</v>
      </c>
      <c r="B76" s="6">
        <v>1087</v>
      </c>
      <c r="C76" s="6" t="s">
        <v>203</v>
      </c>
      <c r="D76" s="6" t="s">
        <v>22</v>
      </c>
      <c r="E76" s="6" t="s">
        <v>204</v>
      </c>
      <c r="F76" s="6">
        <v>21</v>
      </c>
      <c r="G76" s="6">
        <v>52418697</v>
      </c>
      <c r="H76" s="6">
        <v>12</v>
      </c>
      <c r="I76" s="6" t="s">
        <v>38</v>
      </c>
      <c r="J76" s="6" t="s">
        <v>70</v>
      </c>
      <c r="K76" s="7">
        <v>120000</v>
      </c>
      <c r="L76" s="6">
        <v>0</v>
      </c>
      <c r="M76" s="6" t="str">
        <f t="shared" si="2"/>
        <v>yes</v>
      </c>
      <c r="N76" s="8">
        <v>45861</v>
      </c>
      <c r="O76" s="6" t="s">
        <v>26</v>
      </c>
      <c r="P76" s="7">
        <v>20000</v>
      </c>
    </row>
    <row r="77" spans="1:16" x14ac:dyDescent="0.3">
      <c r="A77" s="6">
        <v>76</v>
      </c>
      <c r="B77" s="6">
        <v>1002</v>
      </c>
      <c r="C77" s="6" t="s">
        <v>205</v>
      </c>
      <c r="D77" s="6" t="s">
        <v>22</v>
      </c>
      <c r="E77" s="6" t="s">
        <v>206</v>
      </c>
      <c r="F77" s="6">
        <v>23</v>
      </c>
      <c r="G77" s="6">
        <v>78361945</v>
      </c>
      <c r="H77" s="6">
        <v>13</v>
      </c>
      <c r="I77" s="6" t="s">
        <v>50</v>
      </c>
      <c r="J77" s="6" t="s">
        <v>73</v>
      </c>
      <c r="K77" s="7">
        <v>80000</v>
      </c>
      <c r="L77" s="6">
        <v>0</v>
      </c>
      <c r="M77" s="6" t="str">
        <f t="shared" si="2"/>
        <v>yes</v>
      </c>
      <c r="N77" s="8">
        <v>45861</v>
      </c>
      <c r="O77" s="6" t="s">
        <v>35</v>
      </c>
      <c r="P77" s="7">
        <v>0</v>
      </c>
    </row>
    <row r="78" spans="1:16" x14ac:dyDescent="0.3">
      <c r="A78" s="6">
        <v>77</v>
      </c>
      <c r="B78" s="6">
        <v>1058</v>
      </c>
      <c r="C78" s="6" t="s">
        <v>207</v>
      </c>
      <c r="D78" s="6" t="s">
        <v>22</v>
      </c>
      <c r="E78" s="6" t="s">
        <v>208</v>
      </c>
      <c r="F78" s="6">
        <v>23</v>
      </c>
      <c r="G78" s="6">
        <v>16849523</v>
      </c>
      <c r="H78" s="6">
        <v>13</v>
      </c>
      <c r="I78" s="6" t="s">
        <v>54</v>
      </c>
      <c r="J78" s="6" t="s">
        <v>39</v>
      </c>
      <c r="K78" s="7">
        <v>120000</v>
      </c>
      <c r="L78" s="6">
        <v>2</v>
      </c>
      <c r="M78" s="6" t="str">
        <f t="shared" si="2"/>
        <v>no</v>
      </c>
      <c r="N78" s="8">
        <v>45862</v>
      </c>
      <c r="O78" s="6" t="s">
        <v>26</v>
      </c>
      <c r="P78" s="7">
        <v>30000</v>
      </c>
    </row>
    <row r="79" spans="1:16" x14ac:dyDescent="0.3">
      <c r="A79" s="6">
        <v>78</v>
      </c>
      <c r="B79" s="6">
        <v>1013</v>
      </c>
      <c r="C79" s="6" t="s">
        <v>209</v>
      </c>
      <c r="D79" s="6" t="s">
        <v>22</v>
      </c>
      <c r="E79" s="6" t="s">
        <v>210</v>
      </c>
      <c r="F79" s="6">
        <v>23</v>
      </c>
      <c r="G79" s="6">
        <v>95273481</v>
      </c>
      <c r="H79" s="6">
        <v>15</v>
      </c>
      <c r="I79" s="6" t="s">
        <v>58</v>
      </c>
      <c r="J79" s="6" t="s">
        <v>43</v>
      </c>
      <c r="K79" s="7">
        <v>115000</v>
      </c>
      <c r="L79" s="6">
        <v>2</v>
      </c>
      <c r="M79" s="6" t="str">
        <f t="shared" si="2"/>
        <v>no</v>
      </c>
      <c r="N79" s="8">
        <v>45862</v>
      </c>
      <c r="O79" s="6" t="s">
        <v>26</v>
      </c>
      <c r="P79" s="7">
        <v>0</v>
      </c>
    </row>
    <row r="80" spans="1:16" x14ac:dyDescent="0.3">
      <c r="A80" s="6">
        <v>79</v>
      </c>
      <c r="B80" s="6">
        <v>1037</v>
      </c>
      <c r="C80" s="6" t="s">
        <v>211</v>
      </c>
      <c r="D80" s="6" t="s">
        <v>22</v>
      </c>
      <c r="E80" s="6" t="s">
        <v>212</v>
      </c>
      <c r="F80" s="6">
        <v>24</v>
      </c>
      <c r="G80" s="6">
        <v>43781526</v>
      </c>
      <c r="H80" s="6">
        <v>14</v>
      </c>
      <c r="I80" s="6" t="s">
        <v>46</v>
      </c>
      <c r="J80" s="6" t="s">
        <v>47</v>
      </c>
      <c r="K80" s="7">
        <v>118000</v>
      </c>
      <c r="L80" s="6">
        <v>3</v>
      </c>
      <c r="M80" s="6" t="str">
        <f t="shared" si="2"/>
        <v>no</v>
      </c>
      <c r="N80" s="8">
        <v>45863</v>
      </c>
      <c r="O80" s="6" t="s">
        <v>35</v>
      </c>
      <c r="P80" s="7">
        <v>25000</v>
      </c>
    </row>
    <row r="81" spans="1:16" x14ac:dyDescent="0.3">
      <c r="A81" s="6">
        <v>80</v>
      </c>
      <c r="B81" s="6">
        <v>1015</v>
      </c>
      <c r="C81" s="6" t="s">
        <v>213</v>
      </c>
      <c r="D81" s="6" t="s">
        <v>22</v>
      </c>
      <c r="E81" s="6" t="s">
        <v>214</v>
      </c>
      <c r="F81" s="6">
        <v>24</v>
      </c>
      <c r="G81" s="6">
        <v>69524178</v>
      </c>
      <c r="H81" s="6">
        <v>13</v>
      </c>
      <c r="I81" s="6" t="s">
        <v>62</v>
      </c>
      <c r="J81" s="6" t="s">
        <v>51</v>
      </c>
      <c r="K81" s="7">
        <v>105000</v>
      </c>
      <c r="L81" s="6">
        <v>2</v>
      </c>
      <c r="M81" s="6" t="str">
        <f t="shared" si="2"/>
        <v>no</v>
      </c>
      <c r="N81" s="8">
        <v>45863</v>
      </c>
      <c r="O81" s="6" t="s">
        <v>26</v>
      </c>
      <c r="P81" s="7">
        <v>20000</v>
      </c>
    </row>
    <row r="82" spans="1:16" x14ac:dyDescent="0.3">
      <c r="A82" s="6">
        <v>81</v>
      </c>
      <c r="B82" s="6">
        <v>1011</v>
      </c>
      <c r="C82" s="6" t="s">
        <v>215</v>
      </c>
      <c r="D82" s="6" t="s">
        <v>65</v>
      </c>
      <c r="E82" s="6" t="s">
        <v>216</v>
      </c>
      <c r="F82" s="6">
        <v>24</v>
      </c>
      <c r="G82" s="6">
        <v>21457893</v>
      </c>
      <c r="H82" s="6">
        <v>14</v>
      </c>
      <c r="I82" s="6" t="s">
        <v>29</v>
      </c>
      <c r="J82" s="6" t="s">
        <v>55</v>
      </c>
      <c r="K82" s="7">
        <v>130000</v>
      </c>
      <c r="L82" s="6">
        <v>2</v>
      </c>
      <c r="M82" s="6" t="str">
        <f t="shared" si="2"/>
        <v>no</v>
      </c>
      <c r="N82" s="8">
        <v>45864</v>
      </c>
      <c r="O82" s="6" t="s">
        <v>26</v>
      </c>
      <c r="P82" s="7">
        <v>35000</v>
      </c>
    </row>
    <row r="83" spans="1:16" x14ac:dyDescent="0.3">
      <c r="A83" s="6">
        <v>82</v>
      </c>
      <c r="B83" s="6">
        <v>1079</v>
      </c>
      <c r="C83" s="6" t="s">
        <v>217</v>
      </c>
      <c r="D83" s="6" t="s">
        <v>65</v>
      </c>
      <c r="E83" s="6" t="s">
        <v>218</v>
      </c>
      <c r="F83" s="6">
        <v>22</v>
      </c>
      <c r="G83" s="6">
        <v>87615249</v>
      </c>
      <c r="H83" s="6">
        <v>15</v>
      </c>
      <c r="I83" s="6" t="s">
        <v>24</v>
      </c>
      <c r="J83" s="6" t="s">
        <v>59</v>
      </c>
      <c r="K83" s="7">
        <v>135000</v>
      </c>
      <c r="L83" s="6">
        <v>2</v>
      </c>
      <c r="M83" s="6" t="str">
        <f t="shared" si="2"/>
        <v>no</v>
      </c>
      <c r="N83" s="8">
        <v>45864</v>
      </c>
      <c r="O83" s="6" t="s">
        <v>26</v>
      </c>
      <c r="P83" s="7">
        <v>35000</v>
      </c>
    </row>
    <row r="84" spans="1:16" x14ac:dyDescent="0.3">
      <c r="A84" s="6">
        <v>83</v>
      </c>
      <c r="B84" s="6">
        <v>1001</v>
      </c>
      <c r="C84" s="6" t="s">
        <v>219</v>
      </c>
      <c r="D84" s="6" t="s">
        <v>65</v>
      </c>
      <c r="E84" s="6" t="s">
        <v>220</v>
      </c>
      <c r="F84" s="6">
        <v>18</v>
      </c>
      <c r="G84" s="6">
        <v>35192768</v>
      </c>
      <c r="H84" s="6">
        <v>11</v>
      </c>
      <c r="I84" s="6" t="s">
        <v>33</v>
      </c>
      <c r="J84" s="6" t="s">
        <v>63</v>
      </c>
      <c r="K84" s="7">
        <v>125000</v>
      </c>
      <c r="L84" s="6">
        <v>3</v>
      </c>
      <c r="M84" s="6" t="str">
        <f t="shared" si="2"/>
        <v>no</v>
      </c>
      <c r="N84" s="8">
        <v>45865</v>
      </c>
      <c r="O84" s="6" t="s">
        <v>26</v>
      </c>
      <c r="P84" s="7">
        <v>30000</v>
      </c>
    </row>
    <row r="85" spans="1:16" x14ac:dyDescent="0.3">
      <c r="A85" s="6">
        <v>84</v>
      </c>
      <c r="B85" s="6">
        <v>1031</v>
      </c>
      <c r="C85" s="6" t="s">
        <v>221</v>
      </c>
      <c r="D85" s="6" t="s">
        <v>65</v>
      </c>
      <c r="E85" s="6" t="s">
        <v>222</v>
      </c>
      <c r="F85" s="6">
        <v>19</v>
      </c>
      <c r="G85" s="6">
        <v>74831695</v>
      </c>
      <c r="H85" s="6">
        <v>13</v>
      </c>
      <c r="I85" s="6" t="s">
        <v>42</v>
      </c>
      <c r="J85" s="6" t="s">
        <v>67</v>
      </c>
      <c r="K85" s="7">
        <v>115000</v>
      </c>
      <c r="L85" s="6">
        <v>3</v>
      </c>
      <c r="M85" s="6" t="str">
        <f t="shared" si="2"/>
        <v>no</v>
      </c>
      <c r="N85" s="8">
        <v>45865</v>
      </c>
      <c r="O85" s="6" t="s">
        <v>26</v>
      </c>
      <c r="P85" s="7">
        <v>25000</v>
      </c>
    </row>
    <row r="86" spans="1:16" x14ac:dyDescent="0.3">
      <c r="A86" s="6">
        <v>85</v>
      </c>
      <c r="B86" s="6">
        <v>1057</v>
      </c>
      <c r="C86" s="6" t="s">
        <v>223</v>
      </c>
      <c r="D86" s="6" t="s">
        <v>65</v>
      </c>
      <c r="E86" s="6" t="s">
        <v>224</v>
      </c>
      <c r="F86" s="6">
        <v>18</v>
      </c>
      <c r="G86" s="6">
        <v>52968417</v>
      </c>
      <c r="H86" s="6">
        <v>14</v>
      </c>
      <c r="I86" s="6" t="s">
        <v>38</v>
      </c>
      <c r="J86" s="6" t="s">
        <v>70</v>
      </c>
      <c r="K86" s="7">
        <v>120000</v>
      </c>
      <c r="L86" s="6">
        <v>3</v>
      </c>
      <c r="M86" s="6" t="str">
        <f t="shared" si="2"/>
        <v>no</v>
      </c>
      <c r="N86" s="8">
        <v>45866</v>
      </c>
      <c r="O86" s="6" t="s">
        <v>26</v>
      </c>
      <c r="P86" s="7">
        <v>20000</v>
      </c>
    </row>
    <row r="87" spans="1:16" x14ac:dyDescent="0.3">
      <c r="A87" s="6">
        <v>86</v>
      </c>
      <c r="B87" s="6">
        <v>1076</v>
      </c>
      <c r="C87" s="6" t="s">
        <v>225</v>
      </c>
      <c r="D87" s="6" t="s">
        <v>22</v>
      </c>
      <c r="E87" s="6" t="s">
        <v>226</v>
      </c>
      <c r="F87" s="6">
        <v>19</v>
      </c>
      <c r="G87" s="6">
        <v>18374652</v>
      </c>
      <c r="H87" s="6">
        <v>12</v>
      </c>
      <c r="I87" s="6" t="s">
        <v>50</v>
      </c>
      <c r="J87" s="6" t="s">
        <v>73</v>
      </c>
      <c r="K87" s="7">
        <v>80000</v>
      </c>
      <c r="L87" s="6">
        <v>0</v>
      </c>
      <c r="M87" s="6" t="str">
        <f t="shared" si="2"/>
        <v>yes</v>
      </c>
      <c r="N87" s="8">
        <v>45866</v>
      </c>
      <c r="O87" s="6" t="s">
        <v>26</v>
      </c>
      <c r="P87" s="7">
        <v>0</v>
      </c>
    </row>
    <row r="88" spans="1:16" x14ac:dyDescent="0.3">
      <c r="A88" s="6">
        <v>87</v>
      </c>
      <c r="B88" s="6">
        <v>1063</v>
      </c>
      <c r="C88" s="6" t="s">
        <v>227</v>
      </c>
      <c r="D88" s="6" t="s">
        <v>22</v>
      </c>
      <c r="E88" s="6" t="s">
        <v>228</v>
      </c>
      <c r="F88" s="6">
        <v>23</v>
      </c>
      <c r="G88" s="6">
        <v>96427185</v>
      </c>
      <c r="H88" s="6">
        <v>14</v>
      </c>
      <c r="I88" s="6" t="s">
        <v>58</v>
      </c>
      <c r="J88" s="6" t="s">
        <v>76</v>
      </c>
      <c r="K88" s="7">
        <v>90000</v>
      </c>
      <c r="L88" s="6">
        <v>3</v>
      </c>
      <c r="M88" s="6" t="str">
        <f t="shared" si="2"/>
        <v>no</v>
      </c>
      <c r="N88" s="8">
        <v>45867</v>
      </c>
      <c r="O88" s="6" t="s">
        <v>26</v>
      </c>
      <c r="P88" s="7">
        <v>0</v>
      </c>
    </row>
    <row r="89" spans="1:16" x14ac:dyDescent="0.3">
      <c r="A89" s="6">
        <v>88</v>
      </c>
      <c r="B89" s="6">
        <v>1071</v>
      </c>
      <c r="C89" s="6" t="s">
        <v>229</v>
      </c>
      <c r="D89" s="6" t="s">
        <v>22</v>
      </c>
      <c r="E89" s="6" t="s">
        <v>230</v>
      </c>
      <c r="F89" s="6">
        <v>22</v>
      </c>
      <c r="G89" s="6">
        <v>42759361</v>
      </c>
      <c r="H89" s="6">
        <v>14</v>
      </c>
      <c r="I89" s="6" t="s">
        <v>54</v>
      </c>
      <c r="J89" s="6" t="s">
        <v>25</v>
      </c>
      <c r="K89" s="7">
        <v>95000</v>
      </c>
      <c r="L89" s="6">
        <v>0</v>
      </c>
      <c r="M89" s="6" t="str">
        <f t="shared" si="2"/>
        <v>yes</v>
      </c>
      <c r="N89" s="8">
        <v>45867</v>
      </c>
      <c r="O89" s="6" t="s">
        <v>35</v>
      </c>
      <c r="P89" s="7">
        <v>20000</v>
      </c>
    </row>
    <row r="90" spans="1:16" x14ac:dyDescent="0.3">
      <c r="A90" s="6">
        <v>89</v>
      </c>
      <c r="B90" s="6">
        <v>1074</v>
      </c>
      <c r="C90" s="6" t="s">
        <v>231</v>
      </c>
      <c r="D90" s="6" t="s">
        <v>22</v>
      </c>
      <c r="E90" s="6" t="s">
        <v>232</v>
      </c>
      <c r="F90" s="6">
        <v>18</v>
      </c>
      <c r="G90" s="6">
        <v>81593472</v>
      </c>
      <c r="H90" s="6">
        <v>13</v>
      </c>
      <c r="I90" s="6" t="s">
        <v>46</v>
      </c>
      <c r="J90" s="6" t="s">
        <v>30</v>
      </c>
      <c r="K90" s="7">
        <v>110000</v>
      </c>
      <c r="L90" s="6">
        <v>2</v>
      </c>
      <c r="M90" s="6" t="str">
        <f t="shared" si="2"/>
        <v>no</v>
      </c>
      <c r="N90" s="8">
        <v>45868</v>
      </c>
      <c r="O90" s="6" t="s">
        <v>35</v>
      </c>
      <c r="P90" s="7">
        <v>25000</v>
      </c>
    </row>
    <row r="91" spans="1:16" x14ac:dyDescent="0.3">
      <c r="A91" s="6">
        <v>90</v>
      </c>
      <c r="B91" s="6">
        <v>1054</v>
      </c>
      <c r="C91" s="6" t="s">
        <v>233</v>
      </c>
      <c r="D91" s="6" t="s">
        <v>22</v>
      </c>
      <c r="E91" s="6" t="s">
        <v>234</v>
      </c>
      <c r="F91" s="6">
        <v>20</v>
      </c>
      <c r="G91" s="6">
        <v>67214839</v>
      </c>
      <c r="H91" s="6">
        <v>11</v>
      </c>
      <c r="I91" s="6" t="s">
        <v>62</v>
      </c>
      <c r="J91" s="6" t="s">
        <v>34</v>
      </c>
      <c r="K91" s="7">
        <v>85000</v>
      </c>
      <c r="L91" s="6">
        <v>2</v>
      </c>
      <c r="M91" s="6" t="str">
        <f t="shared" si="2"/>
        <v>no</v>
      </c>
      <c r="N91" s="8">
        <v>45868</v>
      </c>
      <c r="O91" s="6" t="s">
        <v>26</v>
      </c>
      <c r="P91" s="7">
        <v>0</v>
      </c>
    </row>
    <row r="92" spans="1:16" x14ac:dyDescent="0.3">
      <c r="A92" s="6">
        <v>91</v>
      </c>
      <c r="B92" s="6">
        <v>1072</v>
      </c>
      <c r="C92" s="6" t="s">
        <v>235</v>
      </c>
      <c r="D92" s="6" t="s">
        <v>22</v>
      </c>
      <c r="E92" s="6" t="s">
        <v>236</v>
      </c>
      <c r="F92" s="6">
        <v>24</v>
      </c>
      <c r="G92" s="6">
        <v>23951684</v>
      </c>
      <c r="H92" s="6">
        <v>12</v>
      </c>
      <c r="I92" s="6" t="s">
        <v>24</v>
      </c>
      <c r="J92" s="6" t="s">
        <v>39</v>
      </c>
      <c r="K92" s="7">
        <v>120000</v>
      </c>
      <c r="L92" s="6">
        <v>0</v>
      </c>
      <c r="M92" s="6" t="str">
        <f t="shared" si="2"/>
        <v>yes</v>
      </c>
      <c r="N92" s="8">
        <v>45869</v>
      </c>
      <c r="O92" s="6" t="s">
        <v>26</v>
      </c>
      <c r="P92" s="7">
        <v>30000</v>
      </c>
    </row>
    <row r="93" spans="1:16" x14ac:dyDescent="0.3">
      <c r="A93" s="6">
        <v>92</v>
      </c>
      <c r="B93" s="6">
        <v>1080</v>
      </c>
      <c r="C93" s="6" t="s">
        <v>237</v>
      </c>
      <c r="D93" s="6" t="s">
        <v>22</v>
      </c>
      <c r="E93" s="6" t="s">
        <v>238</v>
      </c>
      <c r="F93" s="6">
        <v>22</v>
      </c>
      <c r="G93" s="6">
        <v>78462513</v>
      </c>
      <c r="H93" s="6">
        <v>12</v>
      </c>
      <c r="I93" s="6" t="s">
        <v>29</v>
      </c>
      <c r="J93" s="6" t="s">
        <v>85</v>
      </c>
      <c r="K93" s="7">
        <v>70000</v>
      </c>
      <c r="L93" s="6">
        <v>0</v>
      </c>
      <c r="M93" s="6" t="str">
        <f t="shared" si="2"/>
        <v>yes</v>
      </c>
      <c r="N93" s="8">
        <v>45869</v>
      </c>
      <c r="O93" s="6" t="s">
        <v>35</v>
      </c>
      <c r="P93" s="7">
        <v>15000</v>
      </c>
    </row>
    <row r="94" spans="1:16" x14ac:dyDescent="0.3">
      <c r="A94" s="6">
        <v>93</v>
      </c>
      <c r="B94" s="6">
        <v>1077</v>
      </c>
      <c r="C94" s="6" t="s">
        <v>239</v>
      </c>
      <c r="D94" s="6" t="s">
        <v>22</v>
      </c>
      <c r="E94" s="6" t="s">
        <v>240</v>
      </c>
      <c r="F94" s="6">
        <v>19</v>
      </c>
      <c r="G94" s="6">
        <v>14685297</v>
      </c>
      <c r="H94" s="6">
        <v>15</v>
      </c>
      <c r="I94" s="6" t="s">
        <v>42</v>
      </c>
      <c r="J94" s="6" t="s">
        <v>47</v>
      </c>
      <c r="K94" s="7">
        <v>118000</v>
      </c>
      <c r="L94" s="6">
        <v>2</v>
      </c>
      <c r="M94" s="6" t="str">
        <f t="shared" si="2"/>
        <v>no</v>
      </c>
      <c r="N94" s="8">
        <v>45870</v>
      </c>
      <c r="O94" s="6" t="s">
        <v>26</v>
      </c>
      <c r="P94" s="7">
        <v>25000</v>
      </c>
    </row>
    <row r="95" spans="1:16" x14ac:dyDescent="0.3">
      <c r="A95" s="6">
        <v>94</v>
      </c>
      <c r="B95" s="6">
        <v>1029</v>
      </c>
      <c r="C95" s="6" t="s">
        <v>241</v>
      </c>
      <c r="D95" s="6" t="s">
        <v>22</v>
      </c>
      <c r="E95" s="6" t="s">
        <v>242</v>
      </c>
      <c r="F95" s="6">
        <v>21</v>
      </c>
      <c r="G95" s="6">
        <v>95876321</v>
      </c>
      <c r="H95" s="6">
        <v>12</v>
      </c>
      <c r="I95" s="6" t="s">
        <v>33</v>
      </c>
      <c r="J95" s="6" t="s">
        <v>51</v>
      </c>
      <c r="K95" s="7">
        <v>105000</v>
      </c>
      <c r="L95" s="6">
        <v>2</v>
      </c>
      <c r="M95" s="6" t="str">
        <f t="shared" si="2"/>
        <v>no</v>
      </c>
      <c r="N95" s="8">
        <v>45870</v>
      </c>
      <c r="O95" s="6" t="s">
        <v>26</v>
      </c>
      <c r="P95" s="7">
        <v>20000</v>
      </c>
    </row>
    <row r="96" spans="1:16" x14ac:dyDescent="0.3">
      <c r="A96" s="6">
        <v>95</v>
      </c>
      <c r="B96" s="6">
        <v>1014</v>
      </c>
      <c r="C96" s="6" t="s">
        <v>243</v>
      </c>
      <c r="D96" s="6" t="s">
        <v>22</v>
      </c>
      <c r="E96" s="6" t="s">
        <v>244</v>
      </c>
      <c r="F96" s="6">
        <v>18</v>
      </c>
      <c r="G96" s="6">
        <v>38149756</v>
      </c>
      <c r="H96" s="6">
        <v>11</v>
      </c>
      <c r="I96" s="6" t="s">
        <v>38</v>
      </c>
      <c r="J96" s="6" t="s">
        <v>55</v>
      </c>
      <c r="K96" s="7">
        <v>130000</v>
      </c>
      <c r="L96" s="6">
        <v>2</v>
      </c>
      <c r="M96" s="6" t="str">
        <f t="shared" si="2"/>
        <v>no</v>
      </c>
      <c r="N96" s="8">
        <v>45871</v>
      </c>
      <c r="O96" s="6" t="s">
        <v>26</v>
      </c>
      <c r="P96" s="7">
        <v>35000</v>
      </c>
    </row>
    <row r="97" spans="1:16" x14ac:dyDescent="0.3">
      <c r="A97" s="6">
        <v>96</v>
      </c>
      <c r="B97" s="6">
        <v>1083</v>
      </c>
      <c r="C97" s="6" t="s">
        <v>245</v>
      </c>
      <c r="D97" s="6" t="s">
        <v>22</v>
      </c>
      <c r="E97" s="6" t="s">
        <v>246</v>
      </c>
      <c r="F97" s="6">
        <v>23</v>
      </c>
      <c r="G97" s="6">
        <v>62791548</v>
      </c>
      <c r="H97" s="6">
        <v>15</v>
      </c>
      <c r="I97" s="6" t="s">
        <v>24</v>
      </c>
      <c r="J97" s="6" t="s">
        <v>59</v>
      </c>
      <c r="K97" s="7">
        <v>135000</v>
      </c>
      <c r="L97" s="6">
        <v>0</v>
      </c>
      <c r="M97" s="6" t="str">
        <f t="shared" si="2"/>
        <v>yes</v>
      </c>
      <c r="N97" s="8">
        <v>45871</v>
      </c>
      <c r="O97" s="6" t="s">
        <v>26</v>
      </c>
      <c r="P97" s="7">
        <v>35000</v>
      </c>
    </row>
    <row r="98" spans="1:16" x14ac:dyDescent="0.3">
      <c r="A98" s="6">
        <v>97</v>
      </c>
      <c r="B98" s="6">
        <v>1066</v>
      </c>
      <c r="C98" s="6" t="s">
        <v>247</v>
      </c>
      <c r="D98" s="6" t="s">
        <v>22</v>
      </c>
      <c r="E98" s="6" t="s">
        <v>248</v>
      </c>
      <c r="F98" s="6">
        <v>21</v>
      </c>
      <c r="G98" s="6">
        <v>51328479</v>
      </c>
      <c r="H98" s="6">
        <v>13</v>
      </c>
      <c r="I98" s="6" t="s">
        <v>29</v>
      </c>
      <c r="J98" s="6" t="s">
        <v>63</v>
      </c>
      <c r="K98" s="7">
        <v>125000</v>
      </c>
      <c r="L98" s="6">
        <v>2</v>
      </c>
      <c r="M98" s="6" t="str">
        <f t="shared" ref="M98:M129" si="3">IF(L98&lt;2,"yes","no")</f>
        <v>no</v>
      </c>
      <c r="N98" s="8">
        <v>45872</v>
      </c>
      <c r="O98" s="6" t="s">
        <v>26</v>
      </c>
      <c r="P98" s="7">
        <v>30000</v>
      </c>
    </row>
    <row r="99" spans="1:16" x14ac:dyDescent="0.3">
      <c r="A99" s="6">
        <v>98</v>
      </c>
      <c r="B99" s="6">
        <v>1065</v>
      </c>
      <c r="C99" s="6" t="s">
        <v>249</v>
      </c>
      <c r="D99" s="6" t="s">
        <v>22</v>
      </c>
      <c r="E99" s="6" t="s">
        <v>250</v>
      </c>
      <c r="F99" s="6">
        <v>19</v>
      </c>
      <c r="G99" s="6">
        <v>89416735</v>
      </c>
      <c r="H99" s="6">
        <v>12</v>
      </c>
      <c r="I99" s="6" t="s">
        <v>33</v>
      </c>
      <c r="J99" s="6" t="s">
        <v>67</v>
      </c>
      <c r="K99" s="7">
        <v>115000</v>
      </c>
      <c r="L99" s="6">
        <v>2</v>
      </c>
      <c r="M99" s="6" t="str">
        <f t="shared" si="3"/>
        <v>no</v>
      </c>
      <c r="N99" s="8">
        <v>45872</v>
      </c>
      <c r="O99" s="6" t="s">
        <v>26</v>
      </c>
      <c r="P99" s="7">
        <v>25000</v>
      </c>
    </row>
    <row r="100" spans="1:16" x14ac:dyDescent="0.3">
      <c r="A100" s="6">
        <v>99</v>
      </c>
      <c r="B100" s="6">
        <v>1041</v>
      </c>
      <c r="C100" s="6" t="s">
        <v>251</v>
      </c>
      <c r="D100" s="6" t="s">
        <v>65</v>
      </c>
      <c r="E100" s="6" t="s">
        <v>252</v>
      </c>
      <c r="F100" s="6">
        <v>23</v>
      </c>
      <c r="G100" s="6">
        <v>27563814</v>
      </c>
      <c r="H100" s="6">
        <v>12</v>
      </c>
      <c r="I100" s="6" t="s">
        <v>38</v>
      </c>
      <c r="J100" s="6" t="s">
        <v>70</v>
      </c>
      <c r="K100" s="7">
        <v>120000</v>
      </c>
      <c r="L100" s="6">
        <v>3</v>
      </c>
      <c r="M100" s="6" t="str">
        <f t="shared" si="3"/>
        <v>no</v>
      </c>
      <c r="N100" s="8">
        <v>45873</v>
      </c>
      <c r="O100" s="6" t="s">
        <v>26</v>
      </c>
      <c r="P100" s="7">
        <v>20000</v>
      </c>
    </row>
    <row r="101" spans="1:16" x14ac:dyDescent="0.3">
      <c r="A101" s="6">
        <v>100</v>
      </c>
      <c r="B101" s="6">
        <v>1016</v>
      </c>
      <c r="C101" s="6" t="s">
        <v>253</v>
      </c>
      <c r="D101" s="6" t="s">
        <v>65</v>
      </c>
      <c r="E101" s="6" t="s">
        <v>254</v>
      </c>
      <c r="F101" s="6">
        <v>23</v>
      </c>
      <c r="G101" s="6">
        <v>95876221</v>
      </c>
      <c r="H101" s="6">
        <v>11</v>
      </c>
      <c r="I101" s="6" t="s">
        <v>42</v>
      </c>
      <c r="J101" s="6" t="s">
        <v>73</v>
      </c>
      <c r="K101" s="7">
        <v>80000</v>
      </c>
      <c r="L101" s="6">
        <v>2</v>
      </c>
      <c r="M101" s="6" t="str">
        <f t="shared" si="3"/>
        <v>no</v>
      </c>
      <c r="N101" s="8">
        <v>45873</v>
      </c>
      <c r="O101" s="6" t="s">
        <v>26</v>
      </c>
      <c r="P101" s="7">
        <v>0</v>
      </c>
    </row>
  </sheetData>
  <autoFilter ref="A1:P1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0" customWidth="1"/>
    <col min="3" max="6" width="14" customWidth="1"/>
    <col min="7" max="9" width="13" customWidth="1"/>
    <col min="10" max="10" width="3" customWidth="1"/>
    <col min="11" max="11" width="22" customWidth="1"/>
    <col min="12" max="12" width="11" customWidth="1"/>
  </cols>
  <sheetData>
    <row r="1" spans="1:12" ht="16.8" x14ac:dyDescent="0.3">
      <c r="A1" s="9" t="s">
        <v>255</v>
      </c>
      <c r="K1" s="9" t="s">
        <v>256</v>
      </c>
    </row>
    <row r="3" spans="1:12" ht="30" customHeight="1" x14ac:dyDescent="0.3">
      <c r="A3" s="5" t="s">
        <v>14</v>
      </c>
      <c r="B3" s="5" t="s">
        <v>257</v>
      </c>
      <c r="C3" s="5" t="s">
        <v>258</v>
      </c>
      <c r="D3" s="5" t="s">
        <v>259</v>
      </c>
      <c r="E3" s="5" t="s">
        <v>20</v>
      </c>
      <c r="F3" s="5" t="s">
        <v>260</v>
      </c>
      <c r="G3" s="5" t="s">
        <v>261</v>
      </c>
      <c r="H3" s="5" t="s">
        <v>262</v>
      </c>
      <c r="I3" s="5" t="s">
        <v>263</v>
      </c>
      <c r="K3" s="10" t="s">
        <v>13</v>
      </c>
      <c r="L3" s="10" t="s">
        <v>257</v>
      </c>
    </row>
    <row r="4" spans="1:12" x14ac:dyDescent="0.3">
      <c r="A4" s="6" t="s">
        <v>82</v>
      </c>
      <c r="B4" s="6">
        <f>COUNTIF('Student Detail'!$J$2:$J$101,A4)</f>
        <v>1</v>
      </c>
      <c r="C4" s="7">
        <f>AVERAGEIF('Student Detail'!$J$2:$J$101,A4,'Student Detail'!$K$2:$K$101)</f>
        <v>75000</v>
      </c>
      <c r="D4" s="7">
        <f>SUMIF('Student Detail'!$J$2:$J$101,A4,'Student Detail'!$K$2:$K$101)</f>
        <v>75000</v>
      </c>
      <c r="E4" s="7">
        <f>SUMIF('Student Detail'!$J$2:$J$101,A4,'Student Detail'!$P$2:$P$101)</f>
        <v>0</v>
      </c>
      <c r="F4" s="7">
        <f t="shared" ref="F4:F23" si="0">D4-E4</f>
        <v>75000</v>
      </c>
      <c r="G4" s="7">
        <f t="shared" ref="G4:G23" si="1">C4/3</f>
        <v>25000</v>
      </c>
      <c r="H4" s="7">
        <f t="shared" ref="H4:H23" si="2">C4/3</f>
        <v>25000</v>
      </c>
      <c r="I4" s="7">
        <f t="shared" ref="I4:I23" si="3">C4/3</f>
        <v>25000</v>
      </c>
      <c r="K4" s="6" t="s">
        <v>46</v>
      </c>
      <c r="L4" s="6">
        <f>COUNTIF('Student Detail'!$I$2:$I$101,K4)</f>
        <v>9</v>
      </c>
    </row>
    <row r="5" spans="1:12" x14ac:dyDescent="0.3">
      <c r="A5" s="6" t="s">
        <v>55</v>
      </c>
      <c r="B5" s="6">
        <f>COUNTIF('Student Detail'!$J$2:$J$101,A5)</f>
        <v>11</v>
      </c>
      <c r="C5" s="7">
        <f>AVERAGEIF('Student Detail'!$J$2:$J$101,A5,'Student Detail'!$K$2:$K$101)</f>
        <v>130000</v>
      </c>
      <c r="D5" s="7">
        <f>SUMIF('Student Detail'!$J$2:$J$101,A5,'Student Detail'!$K$2:$K$101)</f>
        <v>1430000</v>
      </c>
      <c r="E5" s="7">
        <f>SUMIF('Student Detail'!$J$2:$J$101,A5,'Student Detail'!$P$2:$P$101)</f>
        <v>385000</v>
      </c>
      <c r="F5" s="7">
        <f t="shared" si="0"/>
        <v>1045000</v>
      </c>
      <c r="G5" s="7">
        <f t="shared" si="1"/>
        <v>43333.333333333336</v>
      </c>
      <c r="H5" s="7">
        <f t="shared" si="2"/>
        <v>43333.333333333336</v>
      </c>
      <c r="I5" s="7">
        <f t="shared" si="3"/>
        <v>43333.333333333336</v>
      </c>
      <c r="K5" s="6" t="s">
        <v>58</v>
      </c>
      <c r="L5" s="6">
        <f>COUNTIF('Student Detail'!$I$2:$I$101,K5)</f>
        <v>9</v>
      </c>
    </row>
    <row r="6" spans="1:12" x14ac:dyDescent="0.3">
      <c r="A6" s="6" t="s">
        <v>34</v>
      </c>
      <c r="B6" s="6">
        <f>COUNTIF('Student Detail'!$J$2:$J$101,A6)</f>
        <v>4</v>
      </c>
      <c r="C6" s="7">
        <f>AVERAGEIF('Student Detail'!$J$2:$J$101,A6,'Student Detail'!$K$2:$K$101)</f>
        <v>85000</v>
      </c>
      <c r="D6" s="7">
        <f>SUMIF('Student Detail'!$J$2:$J$101,A6,'Student Detail'!$K$2:$K$101)</f>
        <v>340000</v>
      </c>
      <c r="E6" s="7">
        <f>SUMIF('Student Detail'!$J$2:$J$101,A6,'Student Detail'!$P$2:$P$101)</f>
        <v>0</v>
      </c>
      <c r="F6" s="7">
        <f t="shared" si="0"/>
        <v>340000</v>
      </c>
      <c r="G6" s="7">
        <f t="shared" si="1"/>
        <v>28333.333333333332</v>
      </c>
      <c r="H6" s="7">
        <f t="shared" si="2"/>
        <v>28333.333333333332</v>
      </c>
      <c r="I6" s="7">
        <f t="shared" si="3"/>
        <v>28333.333333333332</v>
      </c>
      <c r="K6" s="6" t="s">
        <v>50</v>
      </c>
      <c r="L6" s="6">
        <f>COUNTIF('Student Detail'!$I$2:$I$101,K6)</f>
        <v>9</v>
      </c>
    </row>
    <row r="7" spans="1:12" x14ac:dyDescent="0.3">
      <c r="A7" s="6" t="s">
        <v>43</v>
      </c>
      <c r="B7" s="6">
        <f>COUNTIF('Student Detail'!$J$2:$J$101,A7)</f>
        <v>6</v>
      </c>
      <c r="C7" s="7">
        <f>AVERAGEIF('Student Detail'!$J$2:$J$101,A7,'Student Detail'!$K$2:$K$101)</f>
        <v>115000</v>
      </c>
      <c r="D7" s="7">
        <f>SUMIF('Student Detail'!$J$2:$J$101,A7,'Student Detail'!$K$2:$K$101)</f>
        <v>690000</v>
      </c>
      <c r="E7" s="7">
        <f>SUMIF('Student Detail'!$J$2:$J$101,A7,'Student Detail'!$P$2:$P$101)</f>
        <v>0</v>
      </c>
      <c r="F7" s="7">
        <f t="shared" si="0"/>
        <v>690000</v>
      </c>
      <c r="G7" s="7">
        <f t="shared" si="1"/>
        <v>38333.333333333336</v>
      </c>
      <c r="H7" s="7">
        <f t="shared" si="2"/>
        <v>38333.333333333336</v>
      </c>
      <c r="I7" s="7">
        <f t="shared" si="3"/>
        <v>38333.333333333336</v>
      </c>
      <c r="K7" s="6" t="s">
        <v>24</v>
      </c>
      <c r="L7" s="6">
        <f>COUNTIF('Student Detail'!$I$2:$I$101,K7)</f>
        <v>11</v>
      </c>
    </row>
    <row r="8" spans="1:12" x14ac:dyDescent="0.3">
      <c r="A8" s="6" t="s">
        <v>70</v>
      </c>
      <c r="B8" s="6">
        <f>COUNTIF('Student Detail'!$J$2:$J$101,A8)</f>
        <v>5</v>
      </c>
      <c r="C8" s="7">
        <f>AVERAGEIF('Student Detail'!$J$2:$J$101,A8,'Student Detail'!$K$2:$K$101)</f>
        <v>120000</v>
      </c>
      <c r="D8" s="7">
        <f>SUMIF('Student Detail'!$J$2:$J$101,A8,'Student Detail'!$K$2:$K$101)</f>
        <v>600000</v>
      </c>
      <c r="E8" s="7">
        <f>SUMIF('Student Detail'!$J$2:$J$101,A8,'Student Detail'!$P$2:$P$101)</f>
        <v>100000</v>
      </c>
      <c r="F8" s="7">
        <f t="shared" si="0"/>
        <v>500000</v>
      </c>
      <c r="G8" s="7">
        <f t="shared" si="1"/>
        <v>40000</v>
      </c>
      <c r="H8" s="7">
        <f t="shared" si="2"/>
        <v>40000</v>
      </c>
      <c r="I8" s="7">
        <f t="shared" si="3"/>
        <v>40000</v>
      </c>
      <c r="K8" s="6" t="s">
        <v>42</v>
      </c>
      <c r="L8" s="6">
        <f>COUNTIF('Student Detail'!$I$2:$I$101,K8)</f>
        <v>11</v>
      </c>
    </row>
    <row r="9" spans="1:12" x14ac:dyDescent="0.3">
      <c r="A9" s="6" t="s">
        <v>30</v>
      </c>
      <c r="B9" s="6">
        <f>COUNTIF('Student Detail'!$J$2:$J$101,A9)</f>
        <v>3</v>
      </c>
      <c r="C9" s="7">
        <f>AVERAGEIF('Student Detail'!$J$2:$J$101,A9,'Student Detail'!$K$2:$K$101)</f>
        <v>110000</v>
      </c>
      <c r="D9" s="7">
        <f>SUMIF('Student Detail'!$J$2:$J$101,A9,'Student Detail'!$K$2:$K$101)</f>
        <v>330000</v>
      </c>
      <c r="E9" s="7">
        <f>SUMIF('Student Detail'!$J$2:$J$101,A9,'Student Detail'!$P$2:$P$101)</f>
        <v>75000</v>
      </c>
      <c r="F9" s="7">
        <f t="shared" si="0"/>
        <v>255000</v>
      </c>
      <c r="G9" s="7">
        <f t="shared" si="1"/>
        <v>36666.666666666664</v>
      </c>
      <c r="H9" s="7">
        <f t="shared" si="2"/>
        <v>36666.666666666664</v>
      </c>
      <c r="I9" s="7">
        <f t="shared" si="3"/>
        <v>36666.666666666664</v>
      </c>
      <c r="K9" s="6" t="s">
        <v>38</v>
      </c>
      <c r="L9" s="6">
        <f>COUNTIF('Student Detail'!$I$2:$I$101,K9)</f>
        <v>11</v>
      </c>
    </row>
    <row r="10" spans="1:12" x14ac:dyDescent="0.3">
      <c r="A10" s="6" t="s">
        <v>63</v>
      </c>
      <c r="B10" s="6">
        <f>COUNTIF('Student Detail'!$J$2:$J$101,A10)</f>
        <v>11</v>
      </c>
      <c r="C10" s="7">
        <f>AVERAGEIF('Student Detail'!$J$2:$J$101,A10,'Student Detail'!$K$2:$K$101)</f>
        <v>125000</v>
      </c>
      <c r="D10" s="7">
        <f>SUMIF('Student Detail'!$J$2:$J$101,A10,'Student Detail'!$K$2:$K$101)</f>
        <v>1375000</v>
      </c>
      <c r="E10" s="7">
        <f>SUMIF('Student Detail'!$J$2:$J$101,A10,'Student Detail'!$P$2:$P$101)</f>
        <v>330000</v>
      </c>
      <c r="F10" s="7">
        <f t="shared" si="0"/>
        <v>1045000</v>
      </c>
      <c r="G10" s="7">
        <f t="shared" si="1"/>
        <v>41666.666666666664</v>
      </c>
      <c r="H10" s="7">
        <f t="shared" si="2"/>
        <v>41666.666666666664</v>
      </c>
      <c r="I10" s="7">
        <f t="shared" si="3"/>
        <v>41666.666666666664</v>
      </c>
      <c r="K10" s="6" t="s">
        <v>54</v>
      </c>
      <c r="L10" s="6">
        <f>COUNTIF('Student Detail'!$I$2:$I$101,K10)</f>
        <v>9</v>
      </c>
    </row>
    <row r="11" spans="1:12" x14ac:dyDescent="0.3">
      <c r="A11" s="6" t="s">
        <v>25</v>
      </c>
      <c r="B11" s="6">
        <f>COUNTIF('Student Detail'!$J$2:$J$101,A11)</f>
        <v>3</v>
      </c>
      <c r="C11" s="7">
        <f>AVERAGEIF('Student Detail'!$J$2:$J$101,A11,'Student Detail'!$K$2:$K$101)</f>
        <v>95000</v>
      </c>
      <c r="D11" s="7">
        <f>SUMIF('Student Detail'!$J$2:$J$101,A11,'Student Detail'!$K$2:$K$101)</f>
        <v>285000</v>
      </c>
      <c r="E11" s="7">
        <f>SUMIF('Student Detail'!$J$2:$J$101,A11,'Student Detail'!$P$2:$P$101)</f>
        <v>60000</v>
      </c>
      <c r="F11" s="7">
        <f t="shared" si="0"/>
        <v>225000</v>
      </c>
      <c r="G11" s="7">
        <f t="shared" si="1"/>
        <v>31666.666666666668</v>
      </c>
      <c r="H11" s="7">
        <f t="shared" si="2"/>
        <v>31666.666666666668</v>
      </c>
      <c r="I11" s="7">
        <f t="shared" si="3"/>
        <v>31666.666666666668</v>
      </c>
      <c r="K11" s="6" t="s">
        <v>29</v>
      </c>
      <c r="L11" s="6">
        <f>COUNTIF('Student Detail'!$I$2:$I$101,K11)</f>
        <v>11</v>
      </c>
    </row>
    <row r="12" spans="1:12" x14ac:dyDescent="0.3">
      <c r="A12" s="6" t="s">
        <v>73</v>
      </c>
      <c r="B12" s="6">
        <f>COUNTIF('Student Detail'!$J$2:$J$101,A12)</f>
        <v>5</v>
      </c>
      <c r="C12" s="7">
        <f>AVERAGEIF('Student Detail'!$J$2:$J$101,A12,'Student Detail'!$K$2:$K$101)</f>
        <v>80000</v>
      </c>
      <c r="D12" s="7">
        <f>SUMIF('Student Detail'!$J$2:$J$101,A12,'Student Detail'!$K$2:$K$101)</f>
        <v>400000</v>
      </c>
      <c r="E12" s="7">
        <f>SUMIF('Student Detail'!$J$2:$J$101,A12,'Student Detail'!$P$2:$P$101)</f>
        <v>0</v>
      </c>
      <c r="F12" s="7">
        <f t="shared" si="0"/>
        <v>400000</v>
      </c>
      <c r="G12" s="7">
        <f t="shared" si="1"/>
        <v>26666.666666666668</v>
      </c>
      <c r="H12" s="7">
        <f t="shared" si="2"/>
        <v>26666.666666666668</v>
      </c>
      <c r="I12" s="7">
        <f t="shared" si="3"/>
        <v>26666.666666666668</v>
      </c>
      <c r="K12" s="6" t="s">
        <v>33</v>
      </c>
      <c r="L12" s="6">
        <f>COUNTIF('Student Detail'!$I$2:$I$101,K12)</f>
        <v>11</v>
      </c>
    </row>
    <row r="13" spans="1:12" x14ac:dyDescent="0.3">
      <c r="A13" s="6" t="s">
        <v>85</v>
      </c>
      <c r="B13" s="6">
        <f>COUNTIF('Student Detail'!$J$2:$J$101,A13)</f>
        <v>3</v>
      </c>
      <c r="C13" s="7">
        <f>AVERAGEIF('Student Detail'!$J$2:$J$101,A13,'Student Detail'!$K$2:$K$101)</f>
        <v>70000</v>
      </c>
      <c r="D13" s="7">
        <f>SUMIF('Student Detail'!$J$2:$J$101,A13,'Student Detail'!$K$2:$K$101)</f>
        <v>210000</v>
      </c>
      <c r="E13" s="7">
        <f>SUMIF('Student Detail'!$J$2:$J$101,A13,'Student Detail'!$P$2:$P$101)</f>
        <v>45000</v>
      </c>
      <c r="F13" s="7">
        <f t="shared" si="0"/>
        <v>165000</v>
      </c>
      <c r="G13" s="7">
        <f t="shared" si="1"/>
        <v>23333.333333333332</v>
      </c>
      <c r="H13" s="7">
        <f t="shared" si="2"/>
        <v>23333.333333333332</v>
      </c>
      <c r="I13" s="7">
        <f t="shared" si="3"/>
        <v>23333.333333333332</v>
      </c>
      <c r="K13" s="6" t="s">
        <v>62</v>
      </c>
      <c r="L13" s="6">
        <f>COUNTIF('Student Detail'!$I$2:$I$101,K13)</f>
        <v>9</v>
      </c>
    </row>
    <row r="14" spans="1:12" x14ac:dyDescent="0.3">
      <c r="A14" s="6" t="s">
        <v>47</v>
      </c>
      <c r="B14" s="6">
        <f>COUNTIF('Student Detail'!$J$2:$J$101,A14)</f>
        <v>7</v>
      </c>
      <c r="C14" s="7">
        <f>AVERAGEIF('Student Detail'!$J$2:$J$101,A14,'Student Detail'!$K$2:$K$101)</f>
        <v>118000</v>
      </c>
      <c r="D14" s="7">
        <f>SUMIF('Student Detail'!$J$2:$J$101,A14,'Student Detail'!$K$2:$K$101)</f>
        <v>826000</v>
      </c>
      <c r="E14" s="7">
        <f>SUMIF('Student Detail'!$J$2:$J$101,A14,'Student Detail'!$P$2:$P$101)</f>
        <v>175000</v>
      </c>
      <c r="F14" s="7">
        <f t="shared" si="0"/>
        <v>651000</v>
      </c>
      <c r="G14" s="7">
        <f t="shared" si="1"/>
        <v>39333.333333333336</v>
      </c>
      <c r="H14" s="7">
        <f t="shared" si="2"/>
        <v>39333.333333333336</v>
      </c>
      <c r="I14" s="7">
        <f t="shared" si="3"/>
        <v>39333.333333333336</v>
      </c>
      <c r="K14" s="11" t="s">
        <v>264</v>
      </c>
      <c r="L14" s="11">
        <f>SUM(L4:L13)</f>
        <v>100</v>
      </c>
    </row>
    <row r="15" spans="1:12" x14ac:dyDescent="0.3">
      <c r="A15" s="6" t="s">
        <v>76</v>
      </c>
      <c r="B15" s="6">
        <f>COUNTIF('Student Detail'!$J$2:$J$101,A15)</f>
        <v>3</v>
      </c>
      <c r="C15" s="7">
        <f>AVERAGEIF('Student Detail'!$J$2:$J$101,A15,'Student Detail'!$K$2:$K$101)</f>
        <v>90000</v>
      </c>
      <c r="D15" s="7">
        <f>SUMIF('Student Detail'!$J$2:$J$101,A15,'Student Detail'!$K$2:$K$101)</f>
        <v>270000</v>
      </c>
      <c r="E15" s="7">
        <f>SUMIF('Student Detail'!$J$2:$J$101,A15,'Student Detail'!$P$2:$P$101)</f>
        <v>0</v>
      </c>
      <c r="F15" s="7">
        <f t="shared" si="0"/>
        <v>270000</v>
      </c>
      <c r="G15" s="7">
        <f t="shared" si="1"/>
        <v>30000</v>
      </c>
      <c r="H15" s="7">
        <f t="shared" si="2"/>
        <v>30000</v>
      </c>
      <c r="I15" s="7">
        <f t="shared" si="3"/>
        <v>30000</v>
      </c>
    </row>
    <row r="16" spans="1:12" ht="16.8" x14ac:dyDescent="0.3">
      <c r="A16" s="6" t="s">
        <v>91</v>
      </c>
      <c r="B16" s="6">
        <f>COUNTIF('Student Detail'!$J$2:$J$101,A16)</f>
        <v>1</v>
      </c>
      <c r="C16" s="7">
        <f>AVERAGEIF('Student Detail'!$J$2:$J$101,A16,'Student Detail'!$K$2:$K$101)</f>
        <v>88000</v>
      </c>
      <c r="D16" s="7">
        <f>SUMIF('Student Detail'!$J$2:$J$101,A16,'Student Detail'!$K$2:$K$101)</f>
        <v>88000</v>
      </c>
      <c r="E16" s="7">
        <f>SUMIF('Student Detail'!$J$2:$J$101,A16,'Student Detail'!$P$2:$P$101)</f>
        <v>0</v>
      </c>
      <c r="F16" s="7">
        <f t="shared" si="0"/>
        <v>88000</v>
      </c>
      <c r="G16" s="7">
        <f t="shared" si="1"/>
        <v>29333.333333333332</v>
      </c>
      <c r="H16" s="7">
        <f t="shared" si="2"/>
        <v>29333.333333333332</v>
      </c>
      <c r="I16" s="7">
        <f t="shared" si="3"/>
        <v>29333.333333333332</v>
      </c>
      <c r="K16" s="9" t="s">
        <v>265</v>
      </c>
    </row>
    <row r="17" spans="1:12" x14ac:dyDescent="0.3">
      <c r="A17" s="6" t="s">
        <v>94</v>
      </c>
      <c r="B17" s="6">
        <f>COUNTIF('Student Detail'!$J$2:$J$101,A17)</f>
        <v>1</v>
      </c>
      <c r="C17" s="7">
        <f>AVERAGEIF('Student Detail'!$J$2:$J$101,A17,'Student Detail'!$K$2:$K$101)</f>
        <v>98000</v>
      </c>
      <c r="D17" s="7">
        <f>SUMIF('Student Detail'!$J$2:$J$101,A17,'Student Detail'!$K$2:$K$101)</f>
        <v>98000</v>
      </c>
      <c r="E17" s="7">
        <f>SUMIF('Student Detail'!$J$2:$J$101,A17,'Student Detail'!$P$2:$P$101)</f>
        <v>20000</v>
      </c>
      <c r="F17" s="7">
        <f t="shared" si="0"/>
        <v>78000</v>
      </c>
      <c r="G17" s="7">
        <f t="shared" si="1"/>
        <v>32666.666666666668</v>
      </c>
      <c r="H17" s="7">
        <f t="shared" si="2"/>
        <v>32666.666666666668</v>
      </c>
      <c r="I17" s="7">
        <f t="shared" si="3"/>
        <v>32666.666666666668</v>
      </c>
      <c r="K17" s="10" t="s">
        <v>266</v>
      </c>
      <c r="L17" s="10" t="s">
        <v>257</v>
      </c>
    </row>
    <row r="18" spans="1:12" x14ac:dyDescent="0.3">
      <c r="A18" s="6" t="s">
        <v>79</v>
      </c>
      <c r="B18" s="6">
        <f>COUNTIF('Student Detail'!$J$2:$J$101,A18)</f>
        <v>1</v>
      </c>
      <c r="C18" s="7">
        <f>AVERAGEIF('Student Detail'!$J$2:$J$101,A18,'Student Detail'!$K$2:$K$101)</f>
        <v>82000</v>
      </c>
      <c r="D18" s="7">
        <f>SUMIF('Student Detail'!$J$2:$J$101,A18,'Student Detail'!$K$2:$K$101)</f>
        <v>82000</v>
      </c>
      <c r="E18" s="7">
        <f>SUMIF('Student Detail'!$J$2:$J$101,A18,'Student Detail'!$P$2:$P$101)</f>
        <v>15000</v>
      </c>
      <c r="F18" s="7">
        <f t="shared" si="0"/>
        <v>67000</v>
      </c>
      <c r="G18" s="7">
        <f t="shared" si="1"/>
        <v>27333.333333333332</v>
      </c>
      <c r="H18" s="7">
        <f t="shared" si="2"/>
        <v>27333.333333333332</v>
      </c>
      <c r="I18" s="7">
        <f t="shared" si="3"/>
        <v>27333.333333333332</v>
      </c>
      <c r="K18" s="6" t="s">
        <v>267</v>
      </c>
      <c r="L18" s="6">
        <f>COUNTIF('Student Detail'!$M$2:$M$101,"yes")</f>
        <v>14</v>
      </c>
    </row>
    <row r="19" spans="1:12" x14ac:dyDescent="0.3">
      <c r="A19" s="6" t="s">
        <v>51</v>
      </c>
      <c r="B19" s="6">
        <f>COUNTIF('Student Detail'!$J$2:$J$101,A19)</f>
        <v>7</v>
      </c>
      <c r="C19" s="7">
        <f>AVERAGEIF('Student Detail'!$J$2:$J$101,A19,'Student Detail'!$K$2:$K$101)</f>
        <v>105000</v>
      </c>
      <c r="D19" s="7">
        <f>SUMIF('Student Detail'!$J$2:$J$101,A19,'Student Detail'!$K$2:$K$101)</f>
        <v>735000</v>
      </c>
      <c r="E19" s="7">
        <f>SUMIF('Student Detail'!$J$2:$J$101,A19,'Student Detail'!$P$2:$P$101)</f>
        <v>140000</v>
      </c>
      <c r="F19" s="7">
        <f t="shared" si="0"/>
        <v>595000</v>
      </c>
      <c r="G19" s="7">
        <f t="shared" si="1"/>
        <v>35000</v>
      </c>
      <c r="H19" s="7">
        <f t="shared" si="2"/>
        <v>35000</v>
      </c>
      <c r="I19" s="7">
        <f t="shared" si="3"/>
        <v>35000</v>
      </c>
      <c r="K19" s="6" t="s">
        <v>268</v>
      </c>
      <c r="L19" s="6">
        <f>COUNTIF('Student Detail'!$M$2:$M$101,"no")</f>
        <v>86</v>
      </c>
    </row>
    <row r="20" spans="1:12" x14ac:dyDescent="0.3">
      <c r="A20" s="6" t="s">
        <v>59</v>
      </c>
      <c r="B20" s="6">
        <f>COUNTIF('Student Detail'!$J$2:$J$101,A20)</f>
        <v>11</v>
      </c>
      <c r="C20" s="7">
        <f>AVERAGEIF('Student Detail'!$J$2:$J$101,A20,'Student Detail'!$K$2:$K$101)</f>
        <v>135000</v>
      </c>
      <c r="D20" s="7">
        <f>SUMIF('Student Detail'!$J$2:$J$101,A20,'Student Detail'!$K$2:$K$101)</f>
        <v>1485000</v>
      </c>
      <c r="E20" s="7">
        <f>SUMIF('Student Detail'!$J$2:$J$101,A20,'Student Detail'!$P$2:$P$101)</f>
        <v>385000</v>
      </c>
      <c r="F20" s="7">
        <f t="shared" si="0"/>
        <v>1100000</v>
      </c>
      <c r="G20" s="7">
        <f t="shared" si="1"/>
        <v>45000</v>
      </c>
      <c r="H20" s="7">
        <f t="shared" si="2"/>
        <v>45000</v>
      </c>
      <c r="I20" s="7">
        <f t="shared" si="3"/>
        <v>45000</v>
      </c>
    </row>
    <row r="21" spans="1:12" ht="16.8" x14ac:dyDescent="0.3">
      <c r="A21" s="6" t="s">
        <v>39</v>
      </c>
      <c r="B21" s="6">
        <f>COUNTIF('Student Detail'!$J$2:$J$101,A21)</f>
        <v>6</v>
      </c>
      <c r="C21" s="7">
        <f>AVERAGEIF('Student Detail'!$J$2:$J$101,A21,'Student Detail'!$K$2:$K$101)</f>
        <v>120000</v>
      </c>
      <c r="D21" s="7">
        <f>SUMIF('Student Detail'!$J$2:$J$101,A21,'Student Detail'!$K$2:$K$101)</f>
        <v>720000</v>
      </c>
      <c r="E21" s="7">
        <f>SUMIF('Student Detail'!$J$2:$J$101,A21,'Student Detail'!$P$2:$P$101)</f>
        <v>180000</v>
      </c>
      <c r="F21" s="7">
        <f t="shared" si="0"/>
        <v>540000</v>
      </c>
      <c r="G21" s="7">
        <f t="shared" si="1"/>
        <v>40000</v>
      </c>
      <c r="H21" s="7">
        <f t="shared" si="2"/>
        <v>40000</v>
      </c>
      <c r="I21" s="7">
        <f t="shared" si="3"/>
        <v>40000</v>
      </c>
      <c r="K21" s="9" t="s">
        <v>19</v>
      </c>
    </row>
    <row r="22" spans="1:12" x14ac:dyDescent="0.3">
      <c r="A22" s="6" t="s">
        <v>88</v>
      </c>
      <c r="B22" s="6">
        <f>COUNTIF('Student Detail'!$J$2:$J$101,A22)</f>
        <v>1</v>
      </c>
      <c r="C22" s="7">
        <f>AVERAGEIF('Student Detail'!$J$2:$J$101,A22,'Student Detail'!$K$2:$K$101)</f>
        <v>78000</v>
      </c>
      <c r="D22" s="7">
        <f>SUMIF('Student Detail'!$J$2:$J$101,A22,'Student Detail'!$K$2:$K$101)</f>
        <v>78000</v>
      </c>
      <c r="E22" s="7">
        <f>SUMIF('Student Detail'!$J$2:$J$101,A22,'Student Detail'!$P$2:$P$101)</f>
        <v>18000</v>
      </c>
      <c r="F22" s="7">
        <f t="shared" si="0"/>
        <v>60000</v>
      </c>
      <c r="G22" s="7">
        <f t="shared" si="1"/>
        <v>26000</v>
      </c>
      <c r="H22" s="7">
        <f t="shared" si="2"/>
        <v>26000</v>
      </c>
      <c r="I22" s="7">
        <f t="shared" si="3"/>
        <v>26000</v>
      </c>
      <c r="K22" s="10" t="s">
        <v>266</v>
      </c>
      <c r="L22" s="10" t="s">
        <v>257</v>
      </c>
    </row>
    <row r="23" spans="1:12" x14ac:dyDescent="0.3">
      <c r="A23" s="6" t="s">
        <v>67</v>
      </c>
      <c r="B23" s="6">
        <f>COUNTIF('Student Detail'!$J$2:$J$101,A23)</f>
        <v>10</v>
      </c>
      <c r="C23" s="7">
        <f>AVERAGEIF('Student Detail'!$J$2:$J$101,A23,'Student Detail'!$K$2:$K$101)</f>
        <v>115000</v>
      </c>
      <c r="D23" s="7">
        <f>SUMIF('Student Detail'!$J$2:$J$101,A23,'Student Detail'!$K$2:$K$101)</f>
        <v>1150000</v>
      </c>
      <c r="E23" s="7">
        <f>SUMIF('Student Detail'!$J$2:$J$101,A23,'Student Detail'!$P$2:$P$101)</f>
        <v>250000</v>
      </c>
      <c r="F23" s="7">
        <f t="shared" si="0"/>
        <v>900000</v>
      </c>
      <c r="G23" s="7">
        <f t="shared" si="1"/>
        <v>38333.333333333336</v>
      </c>
      <c r="H23" s="7">
        <f t="shared" si="2"/>
        <v>38333.333333333336</v>
      </c>
      <c r="I23" s="7">
        <f t="shared" si="3"/>
        <v>38333.333333333336</v>
      </c>
      <c r="K23" s="6" t="s">
        <v>269</v>
      </c>
      <c r="L23" s="6">
        <f>COUNTIF('Student Detail'!$O$2:$O$101,"Yes")</f>
        <v>81</v>
      </c>
    </row>
    <row r="24" spans="1:12" x14ac:dyDescent="0.3">
      <c r="A24" s="11" t="s">
        <v>264</v>
      </c>
      <c r="B24" s="11">
        <f>SUM(B4:B23)</f>
        <v>100</v>
      </c>
      <c r="C24" s="12"/>
      <c r="D24" s="12">
        <f>SUM(D4:D23)</f>
        <v>11267000</v>
      </c>
      <c r="E24" s="12">
        <f>SUM(E4:E23)</f>
        <v>2178000</v>
      </c>
      <c r="F24" s="12">
        <f>SUM(F4:F23)</f>
        <v>9089000</v>
      </c>
      <c r="G24" s="12"/>
      <c r="H24" s="12"/>
      <c r="I24" s="12"/>
      <c r="K24" s="6" t="s">
        <v>270</v>
      </c>
      <c r="L24" s="6">
        <f>COUNTIF('Student Detail'!$O$2:$O$101,"No")</f>
        <v>19</v>
      </c>
    </row>
    <row r="26" spans="1:12" ht="16.8" x14ac:dyDescent="0.3">
      <c r="A26" s="13" t="s">
        <v>271</v>
      </c>
      <c r="K26" s="9" t="s">
        <v>8</v>
      </c>
    </row>
    <row r="27" spans="1:12" x14ac:dyDescent="0.3">
      <c r="K27" s="10" t="s">
        <v>8</v>
      </c>
      <c r="L27" s="10" t="s">
        <v>257</v>
      </c>
    </row>
    <row r="28" spans="1:12" x14ac:dyDescent="0.3">
      <c r="K28" s="6" t="s">
        <v>22</v>
      </c>
      <c r="L28" s="6">
        <f>COUNTIF('Student Detail'!$D$2:$D$101,"Male")</f>
        <v>63</v>
      </c>
    </row>
    <row r="29" spans="1:12" x14ac:dyDescent="0.3">
      <c r="K29" s="6" t="s">
        <v>65</v>
      </c>
      <c r="L29" s="6">
        <f>COUNTIF('Student Detail'!$D$2:$D$101,"Female")</f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KHUSHI PRAJAPATI</cp:lastModifiedBy>
  <cp:revision>1</cp:revision>
  <dcterms:created xsi:type="dcterms:W3CDTF">2026-10-18T17:20:50Z</dcterms:created>
  <dcterms:modified xsi:type="dcterms:W3CDTF">2026-10-19T16:37:13Z</dcterms:modified>
  <dc:language>en-US</dc:language>
</cp:coreProperties>
</file>